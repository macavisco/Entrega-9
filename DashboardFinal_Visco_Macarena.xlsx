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visco\Downloads\"/>
    </mc:Choice>
  </mc:AlternateContent>
  <xr:revisionPtr revIDLastSave="0" documentId="13_ncr:1_{4FB13464-CDA8-4075-BC56-1C1B8510CBE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 Final" sheetId="1" r:id="rId1"/>
    <sheet name="Datos_Base" sheetId="2" r:id="rId2"/>
    <sheet name="Estadística_Descriptiva" sheetId="3" state="hidden" r:id="rId3"/>
    <sheet name="Escenarios_Resumen" sheetId="4" state="hidden" r:id="rId4"/>
  </sheets>
  <definedNames>
    <definedName name="SegmentaciónDeDatos_Categoria">#N/A</definedName>
    <definedName name="SegmentaciónDeDatos_Mes">#N/A</definedName>
    <definedName name="SegmentaciónDeDatos_Region">#N/A</definedName>
  </definedNames>
  <calcPr calcId="191029" iterateDelta="1E-4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396" i="2" l="1"/>
  <c r="R396" i="2"/>
  <c r="Q396" i="2"/>
  <c r="P396" i="2"/>
  <c r="O396" i="2"/>
  <c r="N396" i="2"/>
  <c r="M396" i="2"/>
  <c r="L396" i="2"/>
  <c r="S395" i="2"/>
  <c r="R395" i="2"/>
  <c r="Q395" i="2"/>
  <c r="P395" i="2"/>
  <c r="O395" i="2"/>
  <c r="N395" i="2"/>
  <c r="M395" i="2"/>
  <c r="L395" i="2"/>
  <c r="S394" i="2"/>
  <c r="R394" i="2"/>
  <c r="Q394" i="2"/>
  <c r="P394" i="2"/>
  <c r="O394" i="2"/>
  <c r="N394" i="2"/>
  <c r="M394" i="2"/>
  <c r="L394" i="2"/>
  <c r="S393" i="2"/>
  <c r="R393" i="2"/>
  <c r="Q393" i="2"/>
  <c r="P393" i="2"/>
  <c r="O393" i="2"/>
  <c r="N393" i="2"/>
  <c r="M393" i="2"/>
  <c r="L393" i="2"/>
  <c r="S392" i="2"/>
  <c r="R392" i="2"/>
  <c r="Q392" i="2"/>
  <c r="P392" i="2"/>
  <c r="O392" i="2"/>
  <c r="N392" i="2"/>
  <c r="M392" i="2"/>
  <c r="L392" i="2"/>
  <c r="S391" i="2"/>
  <c r="R391" i="2"/>
  <c r="Q391" i="2"/>
  <c r="P391" i="2"/>
  <c r="O391" i="2"/>
  <c r="N391" i="2"/>
  <c r="M391" i="2"/>
  <c r="L391" i="2"/>
  <c r="S390" i="2"/>
  <c r="R390" i="2"/>
  <c r="Q390" i="2"/>
  <c r="P390" i="2"/>
  <c r="O390" i="2"/>
  <c r="N390" i="2"/>
  <c r="M390" i="2"/>
  <c r="L390" i="2"/>
  <c r="S389" i="2"/>
  <c r="R389" i="2"/>
  <c r="Q389" i="2"/>
  <c r="P389" i="2"/>
  <c r="O389" i="2"/>
  <c r="N389" i="2"/>
  <c r="M389" i="2"/>
  <c r="L389" i="2"/>
  <c r="S388" i="2"/>
  <c r="R388" i="2"/>
  <c r="Q388" i="2"/>
  <c r="P388" i="2"/>
  <c r="O388" i="2"/>
  <c r="N388" i="2"/>
  <c r="M388" i="2"/>
  <c r="L388" i="2"/>
  <c r="S387" i="2"/>
  <c r="R387" i="2"/>
  <c r="Q387" i="2"/>
  <c r="P387" i="2"/>
  <c r="O387" i="2"/>
  <c r="N387" i="2"/>
  <c r="M387" i="2"/>
  <c r="L387" i="2"/>
  <c r="S386" i="2"/>
  <c r="R386" i="2"/>
  <c r="Q386" i="2"/>
  <c r="P386" i="2"/>
  <c r="O386" i="2"/>
  <c r="N386" i="2"/>
  <c r="M386" i="2"/>
  <c r="L386" i="2"/>
  <c r="S385" i="2"/>
  <c r="R385" i="2"/>
  <c r="Q385" i="2"/>
  <c r="P385" i="2"/>
  <c r="O385" i="2"/>
  <c r="N385" i="2"/>
  <c r="M385" i="2"/>
  <c r="L385" i="2"/>
  <c r="S384" i="2"/>
  <c r="R384" i="2"/>
  <c r="Q384" i="2"/>
  <c r="P384" i="2"/>
  <c r="O384" i="2"/>
  <c r="N384" i="2"/>
  <c r="M384" i="2"/>
  <c r="L384" i="2"/>
  <c r="S383" i="2"/>
  <c r="R383" i="2"/>
  <c r="Q383" i="2"/>
  <c r="P383" i="2"/>
  <c r="O383" i="2"/>
  <c r="N383" i="2"/>
  <c r="M383" i="2"/>
  <c r="L383" i="2"/>
  <c r="S382" i="2"/>
  <c r="R382" i="2"/>
  <c r="Q382" i="2"/>
  <c r="P382" i="2"/>
  <c r="O382" i="2"/>
  <c r="N382" i="2"/>
  <c r="M382" i="2"/>
  <c r="L382" i="2"/>
  <c r="S381" i="2"/>
  <c r="R381" i="2"/>
  <c r="Q381" i="2"/>
  <c r="P381" i="2"/>
  <c r="O381" i="2"/>
  <c r="N381" i="2"/>
  <c r="M381" i="2"/>
  <c r="L381" i="2"/>
  <c r="S380" i="2"/>
  <c r="R380" i="2"/>
  <c r="Q380" i="2"/>
  <c r="P380" i="2"/>
  <c r="O380" i="2"/>
  <c r="N380" i="2"/>
  <c r="M380" i="2"/>
  <c r="L380" i="2"/>
  <c r="S379" i="2"/>
  <c r="R379" i="2"/>
  <c r="Q379" i="2"/>
  <c r="P379" i="2"/>
  <c r="O379" i="2"/>
  <c r="N379" i="2"/>
  <c r="M379" i="2"/>
  <c r="L379" i="2"/>
  <c r="S378" i="2"/>
  <c r="R378" i="2"/>
  <c r="Q378" i="2"/>
  <c r="P378" i="2"/>
  <c r="O378" i="2"/>
  <c r="N378" i="2"/>
  <c r="M378" i="2"/>
  <c r="L378" i="2"/>
  <c r="S377" i="2"/>
  <c r="R377" i="2"/>
  <c r="Q377" i="2"/>
  <c r="P377" i="2"/>
  <c r="O377" i="2"/>
  <c r="N377" i="2"/>
  <c r="M377" i="2"/>
  <c r="L377" i="2"/>
  <c r="S376" i="2"/>
  <c r="R376" i="2"/>
  <c r="Q376" i="2"/>
  <c r="P376" i="2"/>
  <c r="O376" i="2"/>
  <c r="N376" i="2"/>
  <c r="M376" i="2"/>
  <c r="L376" i="2"/>
  <c r="S375" i="2"/>
  <c r="R375" i="2"/>
  <c r="Q375" i="2"/>
  <c r="P375" i="2"/>
  <c r="O375" i="2"/>
  <c r="N375" i="2"/>
  <c r="M375" i="2"/>
  <c r="L375" i="2"/>
  <c r="S374" i="2"/>
  <c r="R374" i="2"/>
  <c r="Q374" i="2"/>
  <c r="P374" i="2"/>
  <c r="O374" i="2"/>
  <c r="N374" i="2"/>
  <c r="M374" i="2"/>
  <c r="L374" i="2"/>
  <c r="S373" i="2"/>
  <c r="R373" i="2"/>
  <c r="Q373" i="2"/>
  <c r="P373" i="2"/>
  <c r="O373" i="2"/>
  <c r="N373" i="2"/>
  <c r="M373" i="2"/>
  <c r="L373" i="2"/>
  <c r="S372" i="2"/>
  <c r="R372" i="2"/>
  <c r="Q372" i="2"/>
  <c r="P372" i="2"/>
  <c r="O372" i="2"/>
  <c r="N372" i="2"/>
  <c r="M372" i="2"/>
  <c r="L372" i="2"/>
  <c r="S371" i="2"/>
  <c r="R371" i="2"/>
  <c r="Q371" i="2"/>
  <c r="P371" i="2"/>
  <c r="O371" i="2"/>
  <c r="N371" i="2"/>
  <c r="M371" i="2"/>
  <c r="L371" i="2"/>
  <c r="S370" i="2"/>
  <c r="R370" i="2"/>
  <c r="Q370" i="2"/>
  <c r="P370" i="2"/>
  <c r="O370" i="2"/>
  <c r="N370" i="2"/>
  <c r="M370" i="2"/>
  <c r="L370" i="2"/>
  <c r="S369" i="2"/>
  <c r="R369" i="2"/>
  <c r="Q369" i="2"/>
  <c r="P369" i="2"/>
  <c r="O369" i="2"/>
  <c r="N369" i="2"/>
  <c r="M369" i="2"/>
  <c r="L369" i="2"/>
  <c r="S368" i="2"/>
  <c r="R368" i="2"/>
  <c r="Q368" i="2"/>
  <c r="P368" i="2"/>
  <c r="O368" i="2"/>
  <c r="N368" i="2"/>
  <c r="M368" i="2"/>
  <c r="L368" i="2"/>
  <c r="S367" i="2"/>
  <c r="R367" i="2"/>
  <c r="Q367" i="2"/>
  <c r="P367" i="2"/>
  <c r="O367" i="2"/>
  <c r="N367" i="2"/>
  <c r="M367" i="2"/>
  <c r="L367" i="2"/>
  <c r="S366" i="2"/>
  <c r="R366" i="2"/>
  <c r="Q366" i="2"/>
  <c r="P366" i="2"/>
  <c r="O366" i="2"/>
  <c r="N366" i="2"/>
  <c r="M366" i="2"/>
  <c r="L366" i="2"/>
  <c r="S365" i="2"/>
  <c r="R365" i="2"/>
  <c r="Q365" i="2"/>
  <c r="P365" i="2"/>
  <c r="O365" i="2"/>
  <c r="N365" i="2"/>
  <c r="M365" i="2"/>
  <c r="L365" i="2"/>
  <c r="S364" i="2"/>
  <c r="R364" i="2"/>
  <c r="Q364" i="2"/>
  <c r="P364" i="2"/>
  <c r="O364" i="2"/>
  <c r="N364" i="2"/>
  <c r="M364" i="2"/>
  <c r="L364" i="2"/>
  <c r="S363" i="2"/>
  <c r="R363" i="2"/>
  <c r="Q363" i="2"/>
  <c r="P363" i="2"/>
  <c r="O363" i="2"/>
  <c r="N363" i="2"/>
  <c r="M363" i="2"/>
  <c r="L363" i="2"/>
  <c r="S362" i="2"/>
  <c r="R362" i="2"/>
  <c r="Q362" i="2"/>
  <c r="P362" i="2"/>
  <c r="O362" i="2"/>
  <c r="N362" i="2"/>
  <c r="M362" i="2"/>
  <c r="L362" i="2"/>
  <c r="S361" i="2"/>
  <c r="R361" i="2"/>
  <c r="Q361" i="2"/>
  <c r="P361" i="2"/>
  <c r="O361" i="2"/>
  <c r="N361" i="2"/>
  <c r="M361" i="2"/>
  <c r="L361" i="2"/>
  <c r="S360" i="2"/>
  <c r="R360" i="2"/>
  <c r="Q360" i="2"/>
  <c r="P360" i="2"/>
  <c r="O360" i="2"/>
  <c r="N360" i="2"/>
  <c r="M360" i="2"/>
  <c r="L360" i="2"/>
  <c r="S359" i="2"/>
  <c r="R359" i="2"/>
  <c r="Q359" i="2"/>
  <c r="P359" i="2"/>
  <c r="O359" i="2"/>
  <c r="N359" i="2"/>
  <c r="M359" i="2"/>
  <c r="L359" i="2"/>
  <c r="S358" i="2"/>
  <c r="R358" i="2"/>
  <c r="Q358" i="2"/>
  <c r="P358" i="2"/>
  <c r="O358" i="2"/>
  <c r="N358" i="2"/>
  <c r="M358" i="2"/>
  <c r="L358" i="2"/>
  <c r="S357" i="2"/>
  <c r="R357" i="2"/>
  <c r="Q357" i="2"/>
  <c r="P357" i="2"/>
  <c r="O357" i="2"/>
  <c r="N357" i="2"/>
  <c r="M357" i="2"/>
  <c r="L357" i="2"/>
  <c r="S356" i="2"/>
  <c r="R356" i="2"/>
  <c r="Q356" i="2"/>
  <c r="P356" i="2"/>
  <c r="O356" i="2"/>
  <c r="N356" i="2"/>
  <c r="M356" i="2"/>
  <c r="L356" i="2"/>
  <c r="S355" i="2"/>
  <c r="R355" i="2"/>
  <c r="Q355" i="2"/>
  <c r="P355" i="2"/>
  <c r="O355" i="2"/>
  <c r="N355" i="2"/>
  <c r="M355" i="2"/>
  <c r="L355" i="2"/>
  <c r="S354" i="2"/>
  <c r="R354" i="2"/>
  <c r="Q354" i="2"/>
  <c r="P354" i="2"/>
  <c r="O354" i="2"/>
  <c r="N354" i="2"/>
  <c r="M354" i="2"/>
  <c r="L354" i="2"/>
  <c r="S353" i="2"/>
  <c r="R353" i="2"/>
  <c r="Q353" i="2"/>
  <c r="P353" i="2"/>
  <c r="O353" i="2"/>
  <c r="N353" i="2"/>
  <c r="M353" i="2"/>
  <c r="L353" i="2"/>
  <c r="S352" i="2"/>
  <c r="R352" i="2"/>
  <c r="Q352" i="2"/>
  <c r="P352" i="2"/>
  <c r="O352" i="2"/>
  <c r="N352" i="2"/>
  <c r="M352" i="2"/>
  <c r="L352" i="2"/>
  <c r="S351" i="2"/>
  <c r="R351" i="2"/>
  <c r="Q351" i="2"/>
  <c r="P351" i="2"/>
  <c r="O351" i="2"/>
  <c r="N351" i="2"/>
  <c r="M351" i="2"/>
  <c r="L351" i="2"/>
  <c r="S350" i="2"/>
  <c r="R350" i="2"/>
  <c r="Q350" i="2"/>
  <c r="P350" i="2"/>
  <c r="O350" i="2"/>
  <c r="N350" i="2"/>
  <c r="M350" i="2"/>
  <c r="L350" i="2"/>
  <c r="S349" i="2"/>
  <c r="R349" i="2"/>
  <c r="Q349" i="2"/>
  <c r="P349" i="2"/>
  <c r="O349" i="2"/>
  <c r="N349" i="2"/>
  <c r="M349" i="2"/>
  <c r="L349" i="2"/>
  <c r="S348" i="2"/>
  <c r="R348" i="2"/>
  <c r="Q348" i="2"/>
  <c r="P348" i="2"/>
  <c r="O348" i="2"/>
  <c r="N348" i="2"/>
  <c r="M348" i="2"/>
  <c r="L348" i="2"/>
  <c r="S347" i="2"/>
  <c r="R347" i="2"/>
  <c r="Q347" i="2"/>
  <c r="P347" i="2"/>
  <c r="O347" i="2"/>
  <c r="N347" i="2"/>
  <c r="M347" i="2"/>
  <c r="L347" i="2"/>
  <c r="S346" i="2"/>
  <c r="R346" i="2"/>
  <c r="Q346" i="2"/>
  <c r="P346" i="2"/>
  <c r="O346" i="2"/>
  <c r="N346" i="2"/>
  <c r="M346" i="2"/>
  <c r="L346" i="2"/>
  <c r="S345" i="2"/>
  <c r="R345" i="2"/>
  <c r="Q345" i="2"/>
  <c r="P345" i="2"/>
  <c r="O345" i="2"/>
  <c r="N345" i="2"/>
  <c r="M345" i="2"/>
  <c r="L345" i="2"/>
  <c r="S344" i="2"/>
  <c r="R344" i="2"/>
  <c r="Q344" i="2"/>
  <c r="P344" i="2"/>
  <c r="O344" i="2"/>
  <c r="N344" i="2"/>
  <c r="M344" i="2"/>
  <c r="L344" i="2"/>
  <c r="S343" i="2"/>
  <c r="R343" i="2"/>
  <c r="Q343" i="2"/>
  <c r="P343" i="2"/>
  <c r="O343" i="2"/>
  <c r="N343" i="2"/>
  <c r="M343" i="2"/>
  <c r="L343" i="2"/>
  <c r="S342" i="2"/>
  <c r="R342" i="2"/>
  <c r="Q342" i="2"/>
  <c r="P342" i="2"/>
  <c r="O342" i="2"/>
  <c r="N342" i="2"/>
  <c r="M342" i="2"/>
  <c r="L342" i="2"/>
  <c r="S341" i="2"/>
  <c r="R341" i="2"/>
  <c r="Q341" i="2"/>
  <c r="P341" i="2"/>
  <c r="O341" i="2"/>
  <c r="N341" i="2"/>
  <c r="M341" i="2"/>
  <c r="L341" i="2"/>
  <c r="S340" i="2"/>
  <c r="R340" i="2"/>
  <c r="Q340" i="2"/>
  <c r="P340" i="2"/>
  <c r="O340" i="2"/>
  <c r="N340" i="2"/>
  <c r="M340" i="2"/>
  <c r="L340" i="2"/>
  <c r="S339" i="2"/>
  <c r="R339" i="2"/>
  <c r="Q339" i="2"/>
  <c r="P339" i="2"/>
  <c r="O339" i="2"/>
  <c r="N339" i="2"/>
  <c r="M339" i="2"/>
  <c r="L339" i="2"/>
  <c r="S338" i="2"/>
  <c r="R338" i="2"/>
  <c r="Q338" i="2"/>
  <c r="P338" i="2"/>
  <c r="O338" i="2"/>
  <c r="N338" i="2"/>
  <c r="M338" i="2"/>
  <c r="L338" i="2"/>
  <c r="S337" i="2"/>
  <c r="R337" i="2"/>
  <c r="Q337" i="2"/>
  <c r="P337" i="2"/>
  <c r="O337" i="2"/>
  <c r="N337" i="2"/>
  <c r="M337" i="2"/>
  <c r="L337" i="2"/>
  <c r="S336" i="2"/>
  <c r="R336" i="2"/>
  <c r="Q336" i="2"/>
  <c r="P336" i="2"/>
  <c r="O336" i="2"/>
  <c r="N336" i="2"/>
  <c r="M336" i="2"/>
  <c r="L336" i="2"/>
  <c r="S335" i="2"/>
  <c r="R335" i="2"/>
  <c r="Q335" i="2"/>
  <c r="P335" i="2"/>
  <c r="O335" i="2"/>
  <c r="N335" i="2"/>
  <c r="M335" i="2"/>
  <c r="L335" i="2"/>
  <c r="S334" i="2"/>
  <c r="R334" i="2"/>
  <c r="Q334" i="2"/>
  <c r="P334" i="2"/>
  <c r="O334" i="2"/>
  <c r="N334" i="2"/>
  <c r="M334" i="2"/>
  <c r="L334" i="2"/>
  <c r="S333" i="2"/>
  <c r="R333" i="2"/>
  <c r="Q333" i="2"/>
  <c r="P333" i="2"/>
  <c r="O333" i="2"/>
  <c r="N333" i="2"/>
  <c r="M333" i="2"/>
  <c r="L333" i="2"/>
  <c r="S332" i="2"/>
  <c r="R332" i="2"/>
  <c r="Q332" i="2"/>
  <c r="P332" i="2"/>
  <c r="O332" i="2"/>
  <c r="N332" i="2"/>
  <c r="M332" i="2"/>
  <c r="L332" i="2"/>
  <c r="S331" i="2"/>
  <c r="R331" i="2"/>
  <c r="Q331" i="2"/>
  <c r="P331" i="2"/>
  <c r="O331" i="2"/>
  <c r="N331" i="2"/>
  <c r="M331" i="2"/>
  <c r="L331" i="2"/>
  <c r="S330" i="2"/>
  <c r="R330" i="2"/>
  <c r="Q330" i="2"/>
  <c r="P330" i="2"/>
  <c r="O330" i="2"/>
  <c r="N330" i="2"/>
  <c r="M330" i="2"/>
  <c r="L330" i="2"/>
  <c r="S329" i="2"/>
  <c r="R329" i="2"/>
  <c r="Q329" i="2"/>
  <c r="P329" i="2"/>
  <c r="O329" i="2"/>
  <c r="N329" i="2"/>
  <c r="M329" i="2"/>
  <c r="L329" i="2"/>
  <c r="S328" i="2"/>
  <c r="R328" i="2"/>
  <c r="Q328" i="2"/>
  <c r="P328" i="2"/>
  <c r="O328" i="2"/>
  <c r="N328" i="2"/>
  <c r="M328" i="2"/>
  <c r="L328" i="2"/>
  <c r="S327" i="2"/>
  <c r="R327" i="2"/>
  <c r="Q327" i="2"/>
  <c r="P327" i="2"/>
  <c r="O327" i="2"/>
  <c r="N327" i="2"/>
  <c r="M327" i="2"/>
  <c r="L327" i="2"/>
  <c r="S326" i="2"/>
  <c r="R326" i="2"/>
  <c r="Q326" i="2"/>
  <c r="P326" i="2"/>
  <c r="O326" i="2"/>
  <c r="N326" i="2"/>
  <c r="M326" i="2"/>
  <c r="L326" i="2"/>
  <c r="S325" i="2"/>
  <c r="R325" i="2"/>
  <c r="Q325" i="2"/>
  <c r="P325" i="2"/>
  <c r="O325" i="2"/>
  <c r="N325" i="2"/>
  <c r="M325" i="2"/>
  <c r="L325" i="2"/>
  <c r="S324" i="2"/>
  <c r="R324" i="2"/>
  <c r="Q324" i="2"/>
  <c r="P324" i="2"/>
  <c r="O324" i="2"/>
  <c r="N324" i="2"/>
  <c r="M324" i="2"/>
  <c r="L324" i="2"/>
  <c r="S323" i="2"/>
  <c r="R323" i="2"/>
  <c r="Q323" i="2"/>
  <c r="P323" i="2"/>
  <c r="O323" i="2"/>
  <c r="N323" i="2"/>
  <c r="M323" i="2"/>
  <c r="L323" i="2"/>
  <c r="S322" i="2"/>
  <c r="R322" i="2"/>
  <c r="Q322" i="2"/>
  <c r="P322" i="2"/>
  <c r="O322" i="2"/>
  <c r="N322" i="2"/>
  <c r="M322" i="2"/>
  <c r="L322" i="2"/>
  <c r="S321" i="2"/>
  <c r="R321" i="2"/>
  <c r="Q321" i="2"/>
  <c r="P321" i="2"/>
  <c r="O321" i="2"/>
  <c r="N321" i="2"/>
  <c r="M321" i="2"/>
  <c r="L321" i="2"/>
  <c r="S320" i="2"/>
  <c r="R320" i="2"/>
  <c r="Q320" i="2"/>
  <c r="P320" i="2"/>
  <c r="O320" i="2"/>
  <c r="N320" i="2"/>
  <c r="M320" i="2"/>
  <c r="L320" i="2"/>
  <c r="S319" i="2"/>
  <c r="R319" i="2"/>
  <c r="Q319" i="2"/>
  <c r="P319" i="2"/>
  <c r="O319" i="2"/>
  <c r="N319" i="2"/>
  <c r="M319" i="2"/>
  <c r="L319" i="2"/>
  <c r="S318" i="2"/>
  <c r="R318" i="2"/>
  <c r="Q318" i="2"/>
  <c r="P318" i="2"/>
  <c r="O318" i="2"/>
  <c r="N318" i="2"/>
  <c r="M318" i="2"/>
  <c r="L318" i="2"/>
  <c r="S317" i="2"/>
  <c r="R317" i="2"/>
  <c r="Q317" i="2"/>
  <c r="P317" i="2"/>
  <c r="O317" i="2"/>
  <c r="N317" i="2"/>
  <c r="M317" i="2"/>
  <c r="L317" i="2"/>
  <c r="S316" i="2"/>
  <c r="R316" i="2"/>
  <c r="Q316" i="2"/>
  <c r="P316" i="2"/>
  <c r="O316" i="2"/>
  <c r="N316" i="2"/>
  <c r="M316" i="2"/>
  <c r="L316" i="2"/>
  <c r="S315" i="2"/>
  <c r="R315" i="2"/>
  <c r="Q315" i="2"/>
  <c r="P315" i="2"/>
  <c r="O315" i="2"/>
  <c r="N315" i="2"/>
  <c r="M315" i="2"/>
  <c r="L315" i="2"/>
  <c r="S314" i="2"/>
  <c r="R314" i="2"/>
  <c r="Q314" i="2"/>
  <c r="P314" i="2"/>
  <c r="O314" i="2"/>
  <c r="N314" i="2"/>
  <c r="M314" i="2"/>
  <c r="L314" i="2"/>
  <c r="S313" i="2"/>
  <c r="R313" i="2"/>
  <c r="Q313" i="2"/>
  <c r="P313" i="2"/>
  <c r="O313" i="2"/>
  <c r="N313" i="2"/>
  <c r="M313" i="2"/>
  <c r="L313" i="2"/>
  <c r="S312" i="2"/>
  <c r="R312" i="2"/>
  <c r="Q312" i="2"/>
  <c r="P312" i="2"/>
  <c r="O312" i="2"/>
  <c r="N312" i="2"/>
  <c r="M312" i="2"/>
  <c r="L312" i="2"/>
  <c r="S311" i="2"/>
  <c r="R311" i="2"/>
  <c r="Q311" i="2"/>
  <c r="P311" i="2"/>
  <c r="O311" i="2"/>
  <c r="N311" i="2"/>
  <c r="M311" i="2"/>
  <c r="L311" i="2"/>
  <c r="S310" i="2"/>
  <c r="R310" i="2"/>
  <c r="Q310" i="2"/>
  <c r="P310" i="2"/>
  <c r="O310" i="2"/>
  <c r="N310" i="2"/>
  <c r="M310" i="2"/>
  <c r="L310" i="2"/>
  <c r="S309" i="2"/>
  <c r="R309" i="2"/>
  <c r="Q309" i="2"/>
  <c r="P309" i="2"/>
  <c r="O309" i="2"/>
  <c r="N309" i="2"/>
  <c r="M309" i="2"/>
  <c r="L309" i="2"/>
  <c r="S308" i="2"/>
  <c r="R308" i="2"/>
  <c r="Q308" i="2"/>
  <c r="P308" i="2"/>
  <c r="O308" i="2"/>
  <c r="N308" i="2"/>
  <c r="M308" i="2"/>
  <c r="L308" i="2"/>
  <c r="S307" i="2"/>
  <c r="R307" i="2"/>
  <c r="Q307" i="2"/>
  <c r="P307" i="2"/>
  <c r="O307" i="2"/>
  <c r="N307" i="2"/>
  <c r="M307" i="2"/>
  <c r="L307" i="2"/>
  <c r="S306" i="2"/>
  <c r="R306" i="2"/>
  <c r="Q306" i="2"/>
  <c r="P306" i="2"/>
  <c r="O306" i="2"/>
  <c r="N306" i="2"/>
  <c r="M306" i="2"/>
  <c r="L306" i="2"/>
  <c r="S305" i="2"/>
  <c r="R305" i="2"/>
  <c r="Q305" i="2"/>
  <c r="P305" i="2"/>
  <c r="O305" i="2"/>
  <c r="N305" i="2"/>
  <c r="M305" i="2"/>
  <c r="L305" i="2"/>
  <c r="S304" i="2"/>
  <c r="R304" i="2"/>
  <c r="Q304" i="2"/>
  <c r="P304" i="2"/>
  <c r="O304" i="2"/>
  <c r="N304" i="2"/>
  <c r="M304" i="2"/>
  <c r="L304" i="2"/>
  <c r="S303" i="2"/>
  <c r="R303" i="2"/>
  <c r="Q303" i="2"/>
  <c r="P303" i="2"/>
  <c r="O303" i="2"/>
  <c r="N303" i="2"/>
  <c r="M303" i="2"/>
  <c r="L303" i="2"/>
  <c r="S302" i="2"/>
  <c r="R302" i="2"/>
  <c r="Q302" i="2"/>
  <c r="P302" i="2"/>
  <c r="O302" i="2"/>
  <c r="N302" i="2"/>
  <c r="M302" i="2"/>
  <c r="L302" i="2"/>
  <c r="S301" i="2"/>
  <c r="R301" i="2"/>
  <c r="Q301" i="2"/>
  <c r="P301" i="2"/>
  <c r="O301" i="2"/>
  <c r="N301" i="2"/>
  <c r="M301" i="2"/>
  <c r="L301" i="2"/>
  <c r="S300" i="2"/>
  <c r="R300" i="2"/>
  <c r="Q300" i="2"/>
  <c r="P300" i="2"/>
  <c r="O300" i="2"/>
  <c r="N300" i="2"/>
  <c r="M300" i="2"/>
  <c r="L300" i="2"/>
  <c r="S299" i="2"/>
  <c r="R299" i="2"/>
  <c r="Q299" i="2"/>
  <c r="P299" i="2"/>
  <c r="O299" i="2"/>
  <c r="N299" i="2"/>
  <c r="M299" i="2"/>
  <c r="L299" i="2"/>
  <c r="S298" i="2"/>
  <c r="R298" i="2"/>
  <c r="Q298" i="2"/>
  <c r="P298" i="2"/>
  <c r="O298" i="2"/>
  <c r="N298" i="2"/>
  <c r="M298" i="2"/>
  <c r="L298" i="2"/>
  <c r="S297" i="2"/>
  <c r="R297" i="2"/>
  <c r="Q297" i="2"/>
  <c r="P297" i="2"/>
  <c r="O297" i="2"/>
  <c r="N297" i="2"/>
  <c r="M297" i="2"/>
  <c r="L297" i="2"/>
  <c r="S296" i="2"/>
  <c r="R296" i="2"/>
  <c r="Q296" i="2"/>
  <c r="P296" i="2"/>
  <c r="O296" i="2"/>
  <c r="N296" i="2"/>
  <c r="M296" i="2"/>
  <c r="L296" i="2"/>
  <c r="S295" i="2"/>
  <c r="R295" i="2"/>
  <c r="Q295" i="2"/>
  <c r="P295" i="2"/>
  <c r="O295" i="2"/>
  <c r="N295" i="2"/>
  <c r="M295" i="2"/>
  <c r="L295" i="2"/>
  <c r="S294" i="2"/>
  <c r="R294" i="2"/>
  <c r="Q294" i="2"/>
  <c r="P294" i="2"/>
  <c r="O294" i="2"/>
  <c r="N294" i="2"/>
  <c r="M294" i="2"/>
  <c r="L294" i="2"/>
  <c r="S293" i="2"/>
  <c r="R293" i="2"/>
  <c r="Q293" i="2"/>
  <c r="P293" i="2"/>
  <c r="O293" i="2"/>
  <c r="N293" i="2"/>
  <c r="M293" i="2"/>
  <c r="L293" i="2"/>
  <c r="S292" i="2"/>
  <c r="R292" i="2"/>
  <c r="Q292" i="2"/>
  <c r="P292" i="2"/>
  <c r="O292" i="2"/>
  <c r="N292" i="2"/>
  <c r="M292" i="2"/>
  <c r="L292" i="2"/>
  <c r="S291" i="2"/>
  <c r="R291" i="2"/>
  <c r="Q291" i="2"/>
  <c r="P291" i="2"/>
  <c r="O291" i="2"/>
  <c r="N291" i="2"/>
  <c r="M291" i="2"/>
  <c r="L291" i="2"/>
  <c r="S290" i="2"/>
  <c r="R290" i="2"/>
  <c r="Q290" i="2"/>
  <c r="P290" i="2"/>
  <c r="O290" i="2"/>
  <c r="N290" i="2"/>
  <c r="M290" i="2"/>
  <c r="L290" i="2"/>
  <c r="S289" i="2"/>
  <c r="R289" i="2"/>
  <c r="Q289" i="2"/>
  <c r="P289" i="2"/>
  <c r="O289" i="2"/>
  <c r="N289" i="2"/>
  <c r="M289" i="2"/>
  <c r="L289" i="2"/>
  <c r="S288" i="2"/>
  <c r="R288" i="2"/>
  <c r="Q288" i="2"/>
  <c r="P288" i="2"/>
  <c r="O288" i="2"/>
  <c r="N288" i="2"/>
  <c r="M288" i="2"/>
  <c r="L288" i="2"/>
  <c r="S287" i="2"/>
  <c r="R287" i="2"/>
  <c r="Q287" i="2"/>
  <c r="P287" i="2"/>
  <c r="O287" i="2"/>
  <c r="N287" i="2"/>
  <c r="M287" i="2"/>
  <c r="L287" i="2"/>
  <c r="S286" i="2"/>
  <c r="R286" i="2"/>
  <c r="Q286" i="2"/>
  <c r="P286" i="2"/>
  <c r="O286" i="2"/>
  <c r="N286" i="2"/>
  <c r="M286" i="2"/>
  <c r="L286" i="2"/>
  <c r="S285" i="2"/>
  <c r="R285" i="2"/>
  <c r="Q285" i="2"/>
  <c r="P285" i="2"/>
  <c r="O285" i="2"/>
  <c r="N285" i="2"/>
  <c r="M285" i="2"/>
  <c r="L285" i="2"/>
  <c r="S284" i="2"/>
  <c r="R284" i="2"/>
  <c r="Q284" i="2"/>
  <c r="P284" i="2"/>
  <c r="O284" i="2"/>
  <c r="N284" i="2"/>
  <c r="M284" i="2"/>
  <c r="L284" i="2"/>
  <c r="S283" i="2"/>
  <c r="R283" i="2"/>
  <c r="Q283" i="2"/>
  <c r="P283" i="2"/>
  <c r="O283" i="2"/>
  <c r="N283" i="2"/>
  <c r="M283" i="2"/>
  <c r="L283" i="2"/>
  <c r="S282" i="2"/>
  <c r="R282" i="2"/>
  <c r="Q282" i="2"/>
  <c r="P282" i="2"/>
  <c r="O282" i="2"/>
  <c r="N282" i="2"/>
  <c r="M282" i="2"/>
  <c r="L282" i="2"/>
  <c r="S281" i="2"/>
  <c r="R281" i="2"/>
  <c r="Q281" i="2"/>
  <c r="P281" i="2"/>
  <c r="O281" i="2"/>
  <c r="N281" i="2"/>
  <c r="M281" i="2"/>
  <c r="L281" i="2"/>
  <c r="S280" i="2"/>
  <c r="R280" i="2"/>
  <c r="Q280" i="2"/>
  <c r="P280" i="2"/>
  <c r="O280" i="2"/>
  <c r="N280" i="2"/>
  <c r="M280" i="2"/>
  <c r="L280" i="2"/>
  <c r="S279" i="2"/>
  <c r="R279" i="2"/>
  <c r="Q279" i="2"/>
  <c r="P279" i="2"/>
  <c r="O279" i="2"/>
  <c r="N279" i="2"/>
  <c r="M279" i="2"/>
  <c r="L279" i="2"/>
  <c r="S278" i="2"/>
  <c r="R278" i="2"/>
  <c r="Q278" i="2"/>
  <c r="P278" i="2"/>
  <c r="O278" i="2"/>
  <c r="N278" i="2"/>
  <c r="M278" i="2"/>
  <c r="L278" i="2"/>
  <c r="S277" i="2"/>
  <c r="R277" i="2"/>
  <c r="Q277" i="2"/>
  <c r="P277" i="2"/>
  <c r="O277" i="2"/>
  <c r="N277" i="2"/>
  <c r="M277" i="2"/>
  <c r="L277" i="2"/>
  <c r="S276" i="2"/>
  <c r="R276" i="2"/>
  <c r="Q276" i="2"/>
  <c r="P276" i="2"/>
  <c r="O276" i="2"/>
  <c r="N276" i="2"/>
  <c r="M276" i="2"/>
  <c r="L276" i="2"/>
  <c r="S275" i="2"/>
  <c r="R275" i="2"/>
  <c r="Q275" i="2"/>
  <c r="P275" i="2"/>
  <c r="O275" i="2"/>
  <c r="N275" i="2"/>
  <c r="M275" i="2"/>
  <c r="L275" i="2"/>
  <c r="S274" i="2"/>
  <c r="R274" i="2"/>
  <c r="Q274" i="2"/>
  <c r="P274" i="2"/>
  <c r="O274" i="2"/>
  <c r="N274" i="2"/>
  <c r="M274" i="2"/>
  <c r="L274" i="2"/>
  <c r="S273" i="2"/>
  <c r="R273" i="2"/>
  <c r="Q273" i="2"/>
  <c r="P273" i="2"/>
  <c r="O273" i="2"/>
  <c r="N273" i="2"/>
  <c r="M273" i="2"/>
  <c r="L273" i="2"/>
  <c r="S272" i="2"/>
  <c r="R272" i="2"/>
  <c r="Q272" i="2"/>
  <c r="P272" i="2"/>
  <c r="O272" i="2"/>
  <c r="N272" i="2"/>
  <c r="M272" i="2"/>
  <c r="L272" i="2"/>
  <c r="S271" i="2"/>
  <c r="R271" i="2"/>
  <c r="Q271" i="2"/>
  <c r="P271" i="2"/>
  <c r="O271" i="2"/>
  <c r="N271" i="2"/>
  <c r="M271" i="2"/>
  <c r="L271" i="2"/>
  <c r="S270" i="2"/>
  <c r="R270" i="2"/>
  <c r="Q270" i="2"/>
  <c r="P270" i="2"/>
  <c r="O270" i="2"/>
  <c r="N270" i="2"/>
  <c r="M270" i="2"/>
  <c r="L270" i="2"/>
  <c r="S269" i="2"/>
  <c r="R269" i="2"/>
  <c r="Q269" i="2"/>
  <c r="P269" i="2"/>
  <c r="O269" i="2"/>
  <c r="N269" i="2"/>
  <c r="M269" i="2"/>
  <c r="L269" i="2"/>
  <c r="S268" i="2"/>
  <c r="R268" i="2"/>
  <c r="Q268" i="2"/>
  <c r="P268" i="2"/>
  <c r="O268" i="2"/>
  <c r="N268" i="2"/>
  <c r="M268" i="2"/>
  <c r="L268" i="2"/>
  <c r="S267" i="2"/>
  <c r="R267" i="2"/>
  <c r="Q267" i="2"/>
  <c r="P267" i="2"/>
  <c r="O267" i="2"/>
  <c r="N267" i="2"/>
  <c r="M267" i="2"/>
  <c r="L267" i="2"/>
  <c r="S266" i="2"/>
  <c r="R266" i="2"/>
  <c r="Q266" i="2"/>
  <c r="P266" i="2"/>
  <c r="O266" i="2"/>
  <c r="N266" i="2"/>
  <c r="M266" i="2"/>
  <c r="L266" i="2"/>
  <c r="S265" i="2"/>
  <c r="R265" i="2"/>
  <c r="Q265" i="2"/>
  <c r="P265" i="2"/>
  <c r="O265" i="2"/>
  <c r="N265" i="2"/>
  <c r="M265" i="2"/>
  <c r="L265" i="2"/>
  <c r="S264" i="2"/>
  <c r="R264" i="2"/>
  <c r="Q264" i="2"/>
  <c r="P264" i="2"/>
  <c r="O264" i="2"/>
  <c r="N264" i="2"/>
  <c r="M264" i="2"/>
  <c r="L264" i="2"/>
  <c r="S263" i="2"/>
  <c r="R263" i="2"/>
  <c r="Q263" i="2"/>
  <c r="P263" i="2"/>
  <c r="O263" i="2"/>
  <c r="N263" i="2"/>
  <c r="M263" i="2"/>
  <c r="L263" i="2"/>
  <c r="S262" i="2"/>
  <c r="R262" i="2"/>
  <c r="Q262" i="2"/>
  <c r="P262" i="2"/>
  <c r="O262" i="2"/>
  <c r="N262" i="2"/>
  <c r="M262" i="2"/>
  <c r="L262" i="2"/>
  <c r="S261" i="2"/>
  <c r="R261" i="2"/>
  <c r="Q261" i="2"/>
  <c r="P261" i="2"/>
  <c r="O261" i="2"/>
  <c r="N261" i="2"/>
  <c r="M261" i="2"/>
  <c r="L261" i="2"/>
  <c r="S260" i="2"/>
  <c r="R260" i="2"/>
  <c r="Q260" i="2"/>
  <c r="P260" i="2"/>
  <c r="O260" i="2"/>
  <c r="N260" i="2"/>
  <c r="M260" i="2"/>
  <c r="L260" i="2"/>
  <c r="S259" i="2"/>
  <c r="R259" i="2"/>
  <c r="Q259" i="2"/>
  <c r="P259" i="2"/>
  <c r="O259" i="2"/>
  <c r="N259" i="2"/>
  <c r="M259" i="2"/>
  <c r="L259" i="2"/>
  <c r="S258" i="2"/>
  <c r="R258" i="2"/>
  <c r="Q258" i="2"/>
  <c r="P258" i="2"/>
  <c r="O258" i="2"/>
  <c r="N258" i="2"/>
  <c r="M258" i="2"/>
  <c r="L258" i="2"/>
  <c r="S257" i="2"/>
  <c r="R257" i="2"/>
  <c r="Q257" i="2"/>
  <c r="P257" i="2"/>
  <c r="O257" i="2"/>
  <c r="N257" i="2"/>
  <c r="M257" i="2"/>
  <c r="L257" i="2"/>
  <c r="S256" i="2"/>
  <c r="R256" i="2"/>
  <c r="Q256" i="2"/>
  <c r="P256" i="2"/>
  <c r="O256" i="2"/>
  <c r="N256" i="2"/>
  <c r="M256" i="2"/>
  <c r="L256" i="2"/>
  <c r="S255" i="2"/>
  <c r="R255" i="2"/>
  <c r="Q255" i="2"/>
  <c r="P255" i="2"/>
  <c r="O255" i="2"/>
  <c r="N255" i="2"/>
  <c r="M255" i="2"/>
  <c r="L255" i="2"/>
  <c r="S254" i="2"/>
  <c r="R254" i="2"/>
  <c r="Q254" i="2"/>
  <c r="P254" i="2"/>
  <c r="O254" i="2"/>
  <c r="N254" i="2"/>
  <c r="M254" i="2"/>
  <c r="L254" i="2"/>
  <c r="S253" i="2"/>
  <c r="R253" i="2"/>
  <c r="Q253" i="2"/>
  <c r="P253" i="2"/>
  <c r="O253" i="2"/>
  <c r="N253" i="2"/>
  <c r="M253" i="2"/>
  <c r="L253" i="2"/>
  <c r="S252" i="2"/>
  <c r="R252" i="2"/>
  <c r="Q252" i="2"/>
  <c r="P252" i="2"/>
  <c r="O252" i="2"/>
  <c r="N252" i="2"/>
  <c r="M252" i="2"/>
  <c r="L252" i="2"/>
  <c r="S251" i="2"/>
  <c r="R251" i="2"/>
  <c r="Q251" i="2"/>
  <c r="P251" i="2"/>
  <c r="O251" i="2"/>
  <c r="N251" i="2"/>
  <c r="M251" i="2"/>
  <c r="L251" i="2"/>
  <c r="S250" i="2"/>
  <c r="R250" i="2"/>
  <c r="Q250" i="2"/>
  <c r="P250" i="2"/>
  <c r="O250" i="2"/>
  <c r="N250" i="2"/>
  <c r="M250" i="2"/>
  <c r="L250" i="2"/>
  <c r="S249" i="2"/>
  <c r="R249" i="2"/>
  <c r="Q249" i="2"/>
  <c r="P249" i="2"/>
  <c r="O249" i="2"/>
  <c r="N249" i="2"/>
  <c r="M249" i="2"/>
  <c r="L249" i="2"/>
  <c r="S248" i="2"/>
  <c r="R248" i="2"/>
  <c r="Q248" i="2"/>
  <c r="P248" i="2"/>
  <c r="O248" i="2"/>
  <c r="N248" i="2"/>
  <c r="M248" i="2"/>
  <c r="L248" i="2"/>
  <c r="S247" i="2"/>
  <c r="R247" i="2"/>
  <c r="Q247" i="2"/>
  <c r="P247" i="2"/>
  <c r="O247" i="2"/>
  <c r="N247" i="2"/>
  <c r="M247" i="2"/>
  <c r="L247" i="2"/>
  <c r="S246" i="2"/>
  <c r="R246" i="2"/>
  <c r="Q246" i="2"/>
  <c r="P246" i="2"/>
  <c r="O246" i="2"/>
  <c r="N246" i="2"/>
  <c r="M246" i="2"/>
  <c r="L246" i="2"/>
  <c r="S245" i="2"/>
  <c r="R245" i="2"/>
  <c r="Q245" i="2"/>
  <c r="P245" i="2"/>
  <c r="O245" i="2"/>
  <c r="N245" i="2"/>
  <c r="M245" i="2"/>
  <c r="L245" i="2"/>
  <c r="S244" i="2"/>
  <c r="R244" i="2"/>
  <c r="Q244" i="2"/>
  <c r="P244" i="2"/>
  <c r="O244" i="2"/>
  <c r="N244" i="2"/>
  <c r="M244" i="2"/>
  <c r="L244" i="2"/>
  <c r="S243" i="2"/>
  <c r="R243" i="2"/>
  <c r="Q243" i="2"/>
  <c r="P243" i="2"/>
  <c r="O243" i="2"/>
  <c r="N243" i="2"/>
  <c r="M243" i="2"/>
  <c r="L243" i="2"/>
  <c r="S242" i="2"/>
  <c r="R242" i="2"/>
  <c r="Q242" i="2"/>
  <c r="P242" i="2"/>
  <c r="O242" i="2"/>
  <c r="N242" i="2"/>
  <c r="M242" i="2"/>
  <c r="L242" i="2"/>
  <c r="S241" i="2"/>
  <c r="R241" i="2"/>
  <c r="Q241" i="2"/>
  <c r="P241" i="2"/>
  <c r="O241" i="2"/>
  <c r="N241" i="2"/>
  <c r="M241" i="2"/>
  <c r="L241" i="2"/>
  <c r="S240" i="2"/>
  <c r="R240" i="2"/>
  <c r="Q240" i="2"/>
  <c r="P240" i="2"/>
  <c r="O240" i="2"/>
  <c r="N240" i="2"/>
  <c r="M240" i="2"/>
  <c r="L240" i="2"/>
  <c r="S239" i="2"/>
  <c r="R239" i="2"/>
  <c r="Q239" i="2"/>
  <c r="P239" i="2"/>
  <c r="O239" i="2"/>
  <c r="N239" i="2"/>
  <c r="M239" i="2"/>
  <c r="L239" i="2"/>
  <c r="S238" i="2"/>
  <c r="R238" i="2"/>
  <c r="Q238" i="2"/>
  <c r="P238" i="2"/>
  <c r="O238" i="2"/>
  <c r="N238" i="2"/>
  <c r="M238" i="2"/>
  <c r="L238" i="2"/>
  <c r="S237" i="2"/>
  <c r="R237" i="2"/>
  <c r="Q237" i="2"/>
  <c r="P237" i="2"/>
  <c r="O237" i="2"/>
  <c r="N237" i="2"/>
  <c r="M237" i="2"/>
  <c r="L237" i="2"/>
  <c r="S236" i="2"/>
  <c r="R236" i="2"/>
  <c r="Q236" i="2"/>
  <c r="P236" i="2"/>
  <c r="O236" i="2"/>
  <c r="N236" i="2"/>
  <c r="M236" i="2"/>
  <c r="L236" i="2"/>
  <c r="S235" i="2"/>
  <c r="R235" i="2"/>
  <c r="Q235" i="2"/>
  <c r="P235" i="2"/>
  <c r="O235" i="2"/>
  <c r="N235" i="2"/>
  <c r="M235" i="2"/>
  <c r="L235" i="2"/>
  <c r="S234" i="2"/>
  <c r="R234" i="2"/>
  <c r="Q234" i="2"/>
  <c r="P234" i="2"/>
  <c r="O234" i="2"/>
  <c r="N234" i="2"/>
  <c r="M234" i="2"/>
  <c r="L234" i="2"/>
  <c r="S233" i="2"/>
  <c r="R233" i="2"/>
  <c r="Q233" i="2"/>
  <c r="P233" i="2"/>
  <c r="O233" i="2"/>
  <c r="N233" i="2"/>
  <c r="M233" i="2"/>
  <c r="L233" i="2"/>
  <c r="S232" i="2"/>
  <c r="R232" i="2"/>
  <c r="Q232" i="2"/>
  <c r="P232" i="2"/>
  <c r="O232" i="2"/>
  <c r="N232" i="2"/>
  <c r="M232" i="2"/>
  <c r="L232" i="2"/>
  <c r="S231" i="2"/>
  <c r="R231" i="2"/>
  <c r="Q231" i="2"/>
  <c r="P231" i="2"/>
  <c r="O231" i="2"/>
  <c r="N231" i="2"/>
  <c r="M231" i="2"/>
  <c r="L231" i="2"/>
  <c r="S230" i="2"/>
  <c r="R230" i="2"/>
  <c r="Q230" i="2"/>
  <c r="P230" i="2"/>
  <c r="O230" i="2"/>
  <c r="N230" i="2"/>
  <c r="M230" i="2"/>
  <c r="L230" i="2"/>
  <c r="S229" i="2"/>
  <c r="R229" i="2"/>
  <c r="Q229" i="2"/>
  <c r="P229" i="2"/>
  <c r="O229" i="2"/>
  <c r="N229" i="2"/>
  <c r="M229" i="2"/>
  <c r="L229" i="2"/>
  <c r="S228" i="2"/>
  <c r="R228" i="2"/>
  <c r="Q228" i="2"/>
  <c r="P228" i="2"/>
  <c r="O228" i="2"/>
  <c r="N228" i="2"/>
  <c r="M228" i="2"/>
  <c r="L228" i="2"/>
  <c r="S227" i="2"/>
  <c r="R227" i="2"/>
  <c r="Q227" i="2"/>
  <c r="P227" i="2"/>
  <c r="O227" i="2"/>
  <c r="N227" i="2"/>
  <c r="M227" i="2"/>
  <c r="L227" i="2"/>
  <c r="S226" i="2"/>
  <c r="R226" i="2"/>
  <c r="Q226" i="2"/>
  <c r="P226" i="2"/>
  <c r="O226" i="2"/>
  <c r="N226" i="2"/>
  <c r="M226" i="2"/>
  <c r="L226" i="2"/>
  <c r="S225" i="2"/>
  <c r="R225" i="2"/>
  <c r="Q225" i="2"/>
  <c r="P225" i="2"/>
  <c r="O225" i="2"/>
  <c r="N225" i="2"/>
  <c r="M225" i="2"/>
  <c r="L225" i="2"/>
  <c r="S224" i="2"/>
  <c r="R224" i="2"/>
  <c r="Q224" i="2"/>
  <c r="P224" i="2"/>
  <c r="O224" i="2"/>
  <c r="N224" i="2"/>
  <c r="M224" i="2"/>
  <c r="L224" i="2"/>
  <c r="S223" i="2"/>
  <c r="R223" i="2"/>
  <c r="Q223" i="2"/>
  <c r="P223" i="2"/>
  <c r="O223" i="2"/>
  <c r="N223" i="2"/>
  <c r="M223" i="2"/>
  <c r="L223" i="2"/>
  <c r="S222" i="2"/>
  <c r="R222" i="2"/>
  <c r="Q222" i="2"/>
  <c r="P222" i="2"/>
  <c r="O222" i="2"/>
  <c r="N222" i="2"/>
  <c r="M222" i="2"/>
  <c r="L222" i="2"/>
  <c r="S221" i="2"/>
  <c r="R221" i="2"/>
  <c r="Q221" i="2"/>
  <c r="P221" i="2"/>
  <c r="O221" i="2"/>
  <c r="N221" i="2"/>
  <c r="M221" i="2"/>
  <c r="L221" i="2"/>
  <c r="S220" i="2"/>
  <c r="R220" i="2"/>
  <c r="Q220" i="2"/>
  <c r="P220" i="2"/>
  <c r="O220" i="2"/>
  <c r="N220" i="2"/>
  <c r="M220" i="2"/>
  <c r="L220" i="2"/>
  <c r="S219" i="2"/>
  <c r="R219" i="2"/>
  <c r="Q219" i="2"/>
  <c r="P219" i="2"/>
  <c r="O219" i="2"/>
  <c r="N219" i="2"/>
  <c r="M219" i="2"/>
  <c r="L219" i="2"/>
  <c r="S218" i="2"/>
  <c r="R218" i="2"/>
  <c r="Q218" i="2"/>
  <c r="P218" i="2"/>
  <c r="O218" i="2"/>
  <c r="N218" i="2"/>
  <c r="M218" i="2"/>
  <c r="L218" i="2"/>
  <c r="S217" i="2"/>
  <c r="R217" i="2"/>
  <c r="Q217" i="2"/>
  <c r="P217" i="2"/>
  <c r="O217" i="2"/>
  <c r="N217" i="2"/>
  <c r="M217" i="2"/>
  <c r="L217" i="2"/>
  <c r="S216" i="2"/>
  <c r="R216" i="2"/>
  <c r="Q216" i="2"/>
  <c r="P216" i="2"/>
  <c r="O216" i="2"/>
  <c r="N216" i="2"/>
  <c r="M216" i="2"/>
  <c r="L216" i="2"/>
  <c r="S215" i="2"/>
  <c r="R215" i="2"/>
  <c r="Q215" i="2"/>
  <c r="P215" i="2"/>
  <c r="O215" i="2"/>
  <c r="N215" i="2"/>
  <c r="M215" i="2"/>
  <c r="L215" i="2"/>
  <c r="S214" i="2"/>
  <c r="R214" i="2"/>
  <c r="Q214" i="2"/>
  <c r="P214" i="2"/>
  <c r="O214" i="2"/>
  <c r="N214" i="2"/>
  <c r="M214" i="2"/>
  <c r="L214" i="2"/>
  <c r="S213" i="2"/>
  <c r="R213" i="2"/>
  <c r="Q213" i="2"/>
  <c r="P213" i="2"/>
  <c r="O213" i="2"/>
  <c r="N213" i="2"/>
  <c r="M213" i="2"/>
  <c r="L213" i="2"/>
  <c r="S212" i="2"/>
  <c r="R212" i="2"/>
  <c r="Q212" i="2"/>
  <c r="P212" i="2"/>
  <c r="O212" i="2"/>
  <c r="N212" i="2"/>
  <c r="M212" i="2"/>
  <c r="L212" i="2"/>
  <c r="S211" i="2"/>
  <c r="R211" i="2"/>
  <c r="Q211" i="2"/>
  <c r="P211" i="2"/>
  <c r="O211" i="2"/>
  <c r="N211" i="2"/>
  <c r="M211" i="2"/>
  <c r="L211" i="2"/>
  <c r="S210" i="2"/>
  <c r="R210" i="2"/>
  <c r="Q210" i="2"/>
  <c r="P210" i="2"/>
  <c r="O210" i="2"/>
  <c r="N210" i="2"/>
  <c r="M210" i="2"/>
  <c r="L210" i="2"/>
  <c r="S209" i="2"/>
  <c r="R209" i="2"/>
  <c r="Q209" i="2"/>
  <c r="P209" i="2"/>
  <c r="O209" i="2"/>
  <c r="N209" i="2"/>
  <c r="M209" i="2"/>
  <c r="L209" i="2"/>
  <c r="S208" i="2"/>
  <c r="R208" i="2"/>
  <c r="Q208" i="2"/>
  <c r="P208" i="2"/>
  <c r="O208" i="2"/>
  <c r="N208" i="2"/>
  <c r="M208" i="2"/>
  <c r="L208" i="2"/>
  <c r="S207" i="2"/>
  <c r="R207" i="2"/>
  <c r="Q207" i="2"/>
  <c r="P207" i="2"/>
  <c r="O207" i="2"/>
  <c r="N207" i="2"/>
  <c r="M207" i="2"/>
  <c r="L207" i="2"/>
  <c r="S206" i="2"/>
  <c r="R206" i="2"/>
  <c r="Q206" i="2"/>
  <c r="P206" i="2"/>
  <c r="O206" i="2"/>
  <c r="N206" i="2"/>
  <c r="M206" i="2"/>
  <c r="L206" i="2"/>
  <c r="S205" i="2"/>
  <c r="R205" i="2"/>
  <c r="Q205" i="2"/>
  <c r="P205" i="2"/>
  <c r="O205" i="2"/>
  <c r="N205" i="2"/>
  <c r="M205" i="2"/>
  <c r="L205" i="2"/>
  <c r="S204" i="2"/>
  <c r="R204" i="2"/>
  <c r="Q204" i="2"/>
  <c r="P204" i="2"/>
  <c r="O204" i="2"/>
  <c r="N204" i="2"/>
  <c r="M204" i="2"/>
  <c r="L204" i="2"/>
  <c r="S203" i="2"/>
  <c r="R203" i="2"/>
  <c r="Q203" i="2"/>
  <c r="P203" i="2"/>
  <c r="O203" i="2"/>
  <c r="N203" i="2"/>
  <c r="M203" i="2"/>
  <c r="L203" i="2"/>
  <c r="S202" i="2"/>
  <c r="R202" i="2"/>
  <c r="Q202" i="2"/>
  <c r="P202" i="2"/>
  <c r="O202" i="2"/>
  <c r="N202" i="2"/>
  <c r="M202" i="2"/>
  <c r="L202" i="2"/>
  <c r="S201" i="2"/>
  <c r="R201" i="2"/>
  <c r="Q201" i="2"/>
  <c r="P201" i="2"/>
  <c r="O201" i="2"/>
  <c r="N201" i="2"/>
  <c r="M201" i="2"/>
  <c r="L201" i="2"/>
  <c r="S200" i="2"/>
  <c r="R200" i="2"/>
  <c r="Q200" i="2"/>
  <c r="P200" i="2"/>
  <c r="O200" i="2"/>
  <c r="N200" i="2"/>
  <c r="M200" i="2"/>
  <c r="L200" i="2"/>
  <c r="S199" i="2"/>
  <c r="R199" i="2"/>
  <c r="Q199" i="2"/>
  <c r="P199" i="2"/>
  <c r="O199" i="2"/>
  <c r="N199" i="2"/>
  <c r="M199" i="2"/>
  <c r="L199" i="2"/>
  <c r="S198" i="2"/>
  <c r="R198" i="2"/>
  <c r="Q198" i="2"/>
  <c r="P198" i="2"/>
  <c r="O198" i="2"/>
  <c r="N198" i="2"/>
  <c r="M198" i="2"/>
  <c r="L198" i="2"/>
  <c r="S197" i="2"/>
  <c r="R197" i="2"/>
  <c r="Q197" i="2"/>
  <c r="P197" i="2"/>
  <c r="O197" i="2"/>
  <c r="N197" i="2"/>
  <c r="M197" i="2"/>
  <c r="L197" i="2"/>
  <c r="S196" i="2"/>
  <c r="R196" i="2"/>
  <c r="Q196" i="2"/>
  <c r="P196" i="2"/>
  <c r="O196" i="2"/>
  <c r="N196" i="2"/>
  <c r="M196" i="2"/>
  <c r="L196" i="2"/>
  <c r="S195" i="2"/>
  <c r="R195" i="2"/>
  <c r="Q195" i="2"/>
  <c r="P195" i="2"/>
  <c r="O195" i="2"/>
  <c r="N195" i="2"/>
  <c r="M195" i="2"/>
  <c r="L195" i="2"/>
  <c r="S194" i="2"/>
  <c r="R194" i="2"/>
  <c r="Q194" i="2"/>
  <c r="P194" i="2"/>
  <c r="O194" i="2"/>
  <c r="N194" i="2"/>
  <c r="M194" i="2"/>
  <c r="L194" i="2"/>
  <c r="S193" i="2"/>
  <c r="R193" i="2"/>
  <c r="Q193" i="2"/>
  <c r="P193" i="2"/>
  <c r="O193" i="2"/>
  <c r="N193" i="2"/>
  <c r="M193" i="2"/>
  <c r="L193" i="2"/>
  <c r="S192" i="2"/>
  <c r="R192" i="2"/>
  <c r="Q192" i="2"/>
  <c r="P192" i="2"/>
  <c r="O192" i="2"/>
  <c r="N192" i="2"/>
  <c r="M192" i="2"/>
  <c r="L192" i="2"/>
  <c r="S191" i="2"/>
  <c r="R191" i="2"/>
  <c r="Q191" i="2"/>
  <c r="P191" i="2"/>
  <c r="O191" i="2"/>
  <c r="N191" i="2"/>
  <c r="M191" i="2"/>
  <c r="L191" i="2"/>
  <c r="S190" i="2"/>
  <c r="R190" i="2"/>
  <c r="Q190" i="2"/>
  <c r="P190" i="2"/>
  <c r="O190" i="2"/>
  <c r="N190" i="2"/>
  <c r="M190" i="2"/>
  <c r="L190" i="2"/>
  <c r="S189" i="2"/>
  <c r="R189" i="2"/>
  <c r="Q189" i="2"/>
  <c r="P189" i="2"/>
  <c r="O189" i="2"/>
  <c r="N189" i="2"/>
  <c r="M189" i="2"/>
  <c r="L189" i="2"/>
  <c r="S188" i="2"/>
  <c r="R188" i="2"/>
  <c r="Q188" i="2"/>
  <c r="P188" i="2"/>
  <c r="O188" i="2"/>
  <c r="N188" i="2"/>
  <c r="M188" i="2"/>
  <c r="L188" i="2"/>
  <c r="S187" i="2"/>
  <c r="R187" i="2"/>
  <c r="Q187" i="2"/>
  <c r="P187" i="2"/>
  <c r="O187" i="2"/>
  <c r="N187" i="2"/>
  <c r="M187" i="2"/>
  <c r="L187" i="2"/>
  <c r="S186" i="2"/>
  <c r="R186" i="2"/>
  <c r="Q186" i="2"/>
  <c r="P186" i="2"/>
  <c r="O186" i="2"/>
  <c r="N186" i="2"/>
  <c r="M186" i="2"/>
  <c r="L186" i="2"/>
  <c r="S185" i="2"/>
  <c r="R185" i="2"/>
  <c r="Q185" i="2"/>
  <c r="P185" i="2"/>
  <c r="O185" i="2"/>
  <c r="N185" i="2"/>
  <c r="M185" i="2"/>
  <c r="L185" i="2"/>
  <c r="S184" i="2"/>
  <c r="R184" i="2"/>
  <c r="Q184" i="2"/>
  <c r="P184" i="2"/>
  <c r="O184" i="2"/>
  <c r="N184" i="2"/>
  <c r="M184" i="2"/>
  <c r="L184" i="2"/>
  <c r="S183" i="2"/>
  <c r="R183" i="2"/>
  <c r="Q183" i="2"/>
  <c r="P183" i="2"/>
  <c r="O183" i="2"/>
  <c r="N183" i="2"/>
  <c r="M183" i="2"/>
  <c r="L183" i="2"/>
  <c r="S182" i="2"/>
  <c r="R182" i="2"/>
  <c r="Q182" i="2"/>
  <c r="P182" i="2"/>
  <c r="O182" i="2"/>
  <c r="N182" i="2"/>
  <c r="M182" i="2"/>
  <c r="L182" i="2"/>
  <c r="S181" i="2"/>
  <c r="R181" i="2"/>
  <c r="Q181" i="2"/>
  <c r="P181" i="2"/>
  <c r="O181" i="2"/>
  <c r="N181" i="2"/>
  <c r="M181" i="2"/>
  <c r="L181" i="2"/>
  <c r="S180" i="2"/>
  <c r="R180" i="2"/>
  <c r="Q180" i="2"/>
  <c r="P180" i="2"/>
  <c r="O180" i="2"/>
  <c r="N180" i="2"/>
  <c r="M180" i="2"/>
  <c r="L180" i="2"/>
  <c r="S179" i="2"/>
  <c r="R179" i="2"/>
  <c r="Q179" i="2"/>
  <c r="P179" i="2"/>
  <c r="O179" i="2"/>
  <c r="N179" i="2"/>
  <c r="M179" i="2"/>
  <c r="L179" i="2"/>
  <c r="S178" i="2"/>
  <c r="R178" i="2"/>
  <c r="Q178" i="2"/>
  <c r="P178" i="2"/>
  <c r="O178" i="2"/>
  <c r="N178" i="2"/>
  <c r="M178" i="2"/>
  <c r="L178" i="2"/>
  <c r="S177" i="2"/>
  <c r="R177" i="2"/>
  <c r="Q177" i="2"/>
  <c r="P177" i="2"/>
  <c r="O177" i="2"/>
  <c r="N177" i="2"/>
  <c r="M177" i="2"/>
  <c r="L177" i="2"/>
  <c r="S176" i="2"/>
  <c r="R176" i="2"/>
  <c r="Q176" i="2"/>
  <c r="P176" i="2"/>
  <c r="O176" i="2"/>
  <c r="N176" i="2"/>
  <c r="M176" i="2"/>
  <c r="L176" i="2"/>
  <c r="S175" i="2"/>
  <c r="R175" i="2"/>
  <c r="Q175" i="2"/>
  <c r="P175" i="2"/>
  <c r="O175" i="2"/>
  <c r="N175" i="2"/>
  <c r="M175" i="2"/>
  <c r="L175" i="2"/>
  <c r="S174" i="2"/>
  <c r="R174" i="2"/>
  <c r="Q174" i="2"/>
  <c r="P174" i="2"/>
  <c r="O174" i="2"/>
  <c r="N174" i="2"/>
  <c r="M174" i="2"/>
  <c r="L174" i="2"/>
  <c r="S173" i="2"/>
  <c r="R173" i="2"/>
  <c r="Q173" i="2"/>
  <c r="P173" i="2"/>
  <c r="O173" i="2"/>
  <c r="N173" i="2"/>
  <c r="M173" i="2"/>
  <c r="L173" i="2"/>
  <c r="S172" i="2"/>
  <c r="R172" i="2"/>
  <c r="Q172" i="2"/>
  <c r="P172" i="2"/>
  <c r="O172" i="2"/>
  <c r="N172" i="2"/>
  <c r="M172" i="2"/>
  <c r="L172" i="2"/>
  <c r="S171" i="2"/>
  <c r="R171" i="2"/>
  <c r="Q171" i="2"/>
  <c r="P171" i="2"/>
  <c r="O171" i="2"/>
  <c r="N171" i="2"/>
  <c r="M171" i="2"/>
  <c r="L171" i="2"/>
  <c r="S170" i="2"/>
  <c r="R170" i="2"/>
  <c r="Q170" i="2"/>
  <c r="P170" i="2"/>
  <c r="O170" i="2"/>
  <c r="N170" i="2"/>
  <c r="M170" i="2"/>
  <c r="L170" i="2"/>
  <c r="S169" i="2"/>
  <c r="R169" i="2"/>
  <c r="Q169" i="2"/>
  <c r="P169" i="2"/>
  <c r="O169" i="2"/>
  <c r="N169" i="2"/>
  <c r="M169" i="2"/>
  <c r="L169" i="2"/>
  <c r="S168" i="2"/>
  <c r="R168" i="2"/>
  <c r="Q168" i="2"/>
  <c r="P168" i="2"/>
  <c r="O168" i="2"/>
  <c r="N168" i="2"/>
  <c r="M168" i="2"/>
  <c r="L168" i="2"/>
  <c r="S167" i="2"/>
  <c r="R167" i="2"/>
  <c r="Q167" i="2"/>
  <c r="P167" i="2"/>
  <c r="O167" i="2"/>
  <c r="N167" i="2"/>
  <c r="M167" i="2"/>
  <c r="L167" i="2"/>
  <c r="S166" i="2"/>
  <c r="R166" i="2"/>
  <c r="Q166" i="2"/>
  <c r="P166" i="2"/>
  <c r="O166" i="2"/>
  <c r="N166" i="2"/>
  <c r="M166" i="2"/>
  <c r="L166" i="2"/>
  <c r="S165" i="2"/>
  <c r="R165" i="2"/>
  <c r="Q165" i="2"/>
  <c r="P165" i="2"/>
  <c r="O165" i="2"/>
  <c r="N165" i="2"/>
  <c r="M165" i="2"/>
  <c r="L165" i="2"/>
  <c r="S164" i="2"/>
  <c r="R164" i="2"/>
  <c r="Q164" i="2"/>
  <c r="P164" i="2"/>
  <c r="O164" i="2"/>
  <c r="N164" i="2"/>
  <c r="M164" i="2"/>
  <c r="L164" i="2"/>
  <c r="S163" i="2"/>
  <c r="R163" i="2"/>
  <c r="Q163" i="2"/>
  <c r="P163" i="2"/>
  <c r="O163" i="2"/>
  <c r="N163" i="2"/>
  <c r="M163" i="2"/>
  <c r="L163" i="2"/>
  <c r="S162" i="2"/>
  <c r="R162" i="2"/>
  <c r="Q162" i="2"/>
  <c r="P162" i="2"/>
  <c r="O162" i="2"/>
  <c r="N162" i="2"/>
  <c r="M162" i="2"/>
  <c r="L162" i="2"/>
  <c r="S161" i="2"/>
  <c r="R161" i="2"/>
  <c r="Q161" i="2"/>
  <c r="P161" i="2"/>
  <c r="O161" i="2"/>
  <c r="N161" i="2"/>
  <c r="M161" i="2"/>
  <c r="L161" i="2"/>
  <c r="S160" i="2"/>
  <c r="R160" i="2"/>
  <c r="Q160" i="2"/>
  <c r="P160" i="2"/>
  <c r="O160" i="2"/>
  <c r="N160" i="2"/>
  <c r="M160" i="2"/>
  <c r="L160" i="2"/>
  <c r="S159" i="2"/>
  <c r="R159" i="2"/>
  <c r="Q159" i="2"/>
  <c r="P159" i="2"/>
  <c r="O159" i="2"/>
  <c r="N159" i="2"/>
  <c r="M159" i="2"/>
  <c r="L159" i="2"/>
  <c r="S158" i="2"/>
  <c r="R158" i="2"/>
  <c r="Q158" i="2"/>
  <c r="P158" i="2"/>
  <c r="O158" i="2"/>
  <c r="N158" i="2"/>
  <c r="M158" i="2"/>
  <c r="L158" i="2"/>
  <c r="S157" i="2"/>
  <c r="R157" i="2"/>
  <c r="Q157" i="2"/>
  <c r="P157" i="2"/>
  <c r="O157" i="2"/>
  <c r="N157" i="2"/>
  <c r="M157" i="2"/>
  <c r="L157" i="2"/>
  <c r="S156" i="2"/>
  <c r="R156" i="2"/>
  <c r="Q156" i="2"/>
  <c r="P156" i="2"/>
  <c r="O156" i="2"/>
  <c r="N156" i="2"/>
  <c r="M156" i="2"/>
  <c r="L156" i="2"/>
  <c r="S155" i="2"/>
  <c r="R155" i="2"/>
  <c r="Q155" i="2"/>
  <c r="P155" i="2"/>
  <c r="O155" i="2"/>
  <c r="N155" i="2"/>
  <c r="M155" i="2"/>
  <c r="L155" i="2"/>
  <c r="S154" i="2"/>
  <c r="R154" i="2"/>
  <c r="Q154" i="2"/>
  <c r="P154" i="2"/>
  <c r="O154" i="2"/>
  <c r="N154" i="2"/>
  <c r="M154" i="2"/>
  <c r="L154" i="2"/>
  <c r="S153" i="2"/>
  <c r="R153" i="2"/>
  <c r="Q153" i="2"/>
  <c r="P153" i="2"/>
  <c r="O153" i="2"/>
  <c r="N153" i="2"/>
  <c r="M153" i="2"/>
  <c r="L153" i="2"/>
  <c r="S152" i="2"/>
  <c r="R152" i="2"/>
  <c r="Q152" i="2"/>
  <c r="P152" i="2"/>
  <c r="O152" i="2"/>
  <c r="N152" i="2"/>
  <c r="M152" i="2"/>
  <c r="L152" i="2"/>
  <c r="S151" i="2"/>
  <c r="R151" i="2"/>
  <c r="Q151" i="2"/>
  <c r="P151" i="2"/>
  <c r="O151" i="2"/>
  <c r="N151" i="2"/>
  <c r="M151" i="2"/>
  <c r="L151" i="2"/>
  <c r="S150" i="2"/>
  <c r="R150" i="2"/>
  <c r="Q150" i="2"/>
  <c r="P150" i="2"/>
  <c r="O150" i="2"/>
  <c r="N150" i="2"/>
  <c r="M150" i="2"/>
  <c r="L150" i="2"/>
  <c r="S149" i="2"/>
  <c r="R149" i="2"/>
  <c r="Q149" i="2"/>
  <c r="P149" i="2"/>
  <c r="O149" i="2"/>
  <c r="N149" i="2"/>
  <c r="M149" i="2"/>
  <c r="L149" i="2"/>
  <c r="S148" i="2"/>
  <c r="R148" i="2"/>
  <c r="Q148" i="2"/>
  <c r="P148" i="2"/>
  <c r="O148" i="2"/>
  <c r="N148" i="2"/>
  <c r="M148" i="2"/>
  <c r="L148" i="2"/>
  <c r="S147" i="2"/>
  <c r="R147" i="2"/>
  <c r="Q147" i="2"/>
  <c r="P147" i="2"/>
  <c r="O147" i="2"/>
  <c r="N147" i="2"/>
  <c r="M147" i="2"/>
  <c r="L147" i="2"/>
  <c r="S146" i="2"/>
  <c r="R146" i="2"/>
  <c r="Q146" i="2"/>
  <c r="P146" i="2"/>
  <c r="O146" i="2"/>
  <c r="N146" i="2"/>
  <c r="M146" i="2"/>
  <c r="L146" i="2"/>
  <c r="S145" i="2"/>
  <c r="R145" i="2"/>
  <c r="Q145" i="2"/>
  <c r="P145" i="2"/>
  <c r="O145" i="2"/>
  <c r="N145" i="2"/>
  <c r="M145" i="2"/>
  <c r="L145" i="2"/>
  <c r="S144" i="2"/>
  <c r="R144" i="2"/>
  <c r="Q144" i="2"/>
  <c r="P144" i="2"/>
  <c r="O144" i="2"/>
  <c r="N144" i="2"/>
  <c r="M144" i="2"/>
  <c r="L144" i="2"/>
  <c r="S143" i="2"/>
  <c r="R143" i="2"/>
  <c r="Q143" i="2"/>
  <c r="P143" i="2"/>
  <c r="O143" i="2"/>
  <c r="N143" i="2"/>
  <c r="M143" i="2"/>
  <c r="L143" i="2"/>
  <c r="S142" i="2"/>
  <c r="R142" i="2"/>
  <c r="Q142" i="2"/>
  <c r="P142" i="2"/>
  <c r="O142" i="2"/>
  <c r="N142" i="2"/>
  <c r="M142" i="2"/>
  <c r="L142" i="2"/>
  <c r="S141" i="2"/>
  <c r="R141" i="2"/>
  <c r="Q141" i="2"/>
  <c r="P141" i="2"/>
  <c r="O141" i="2"/>
  <c r="N141" i="2"/>
  <c r="M141" i="2"/>
  <c r="L141" i="2"/>
  <c r="S140" i="2"/>
  <c r="R140" i="2"/>
  <c r="Q140" i="2"/>
  <c r="P140" i="2"/>
  <c r="O140" i="2"/>
  <c r="N140" i="2"/>
  <c r="M140" i="2"/>
  <c r="L140" i="2"/>
  <c r="S139" i="2"/>
  <c r="R139" i="2"/>
  <c r="Q139" i="2"/>
  <c r="P139" i="2"/>
  <c r="O139" i="2"/>
  <c r="N139" i="2"/>
  <c r="M139" i="2"/>
  <c r="L139" i="2"/>
  <c r="S138" i="2"/>
  <c r="R138" i="2"/>
  <c r="Q138" i="2"/>
  <c r="P138" i="2"/>
  <c r="O138" i="2"/>
  <c r="N138" i="2"/>
  <c r="M138" i="2"/>
  <c r="L138" i="2"/>
  <c r="S137" i="2"/>
  <c r="R137" i="2"/>
  <c r="Q137" i="2"/>
  <c r="P137" i="2"/>
  <c r="O137" i="2"/>
  <c r="N137" i="2"/>
  <c r="M137" i="2"/>
  <c r="L137" i="2"/>
  <c r="S136" i="2"/>
  <c r="R136" i="2"/>
  <c r="Q136" i="2"/>
  <c r="P136" i="2"/>
  <c r="O136" i="2"/>
  <c r="N136" i="2"/>
  <c r="M136" i="2"/>
  <c r="L136" i="2"/>
  <c r="S135" i="2"/>
  <c r="R135" i="2"/>
  <c r="Q135" i="2"/>
  <c r="P135" i="2"/>
  <c r="O135" i="2"/>
  <c r="N135" i="2"/>
  <c r="M135" i="2"/>
  <c r="L135" i="2"/>
  <c r="S134" i="2"/>
  <c r="R134" i="2"/>
  <c r="Q134" i="2"/>
  <c r="P134" i="2"/>
  <c r="O134" i="2"/>
  <c r="N134" i="2"/>
  <c r="M134" i="2"/>
  <c r="L134" i="2"/>
  <c r="S133" i="2"/>
  <c r="R133" i="2"/>
  <c r="Q133" i="2"/>
  <c r="P133" i="2"/>
  <c r="O133" i="2"/>
  <c r="N133" i="2"/>
  <c r="M133" i="2"/>
  <c r="L133" i="2"/>
  <c r="S132" i="2"/>
  <c r="R132" i="2"/>
  <c r="Q132" i="2"/>
  <c r="P132" i="2"/>
  <c r="O132" i="2"/>
  <c r="N132" i="2"/>
  <c r="M132" i="2"/>
  <c r="L132" i="2"/>
  <c r="S131" i="2"/>
  <c r="R131" i="2"/>
  <c r="Q131" i="2"/>
  <c r="P131" i="2"/>
  <c r="O131" i="2"/>
  <c r="N131" i="2"/>
  <c r="M131" i="2"/>
  <c r="L131" i="2"/>
  <c r="S130" i="2"/>
  <c r="R130" i="2"/>
  <c r="Q130" i="2"/>
  <c r="P130" i="2"/>
  <c r="O130" i="2"/>
  <c r="N130" i="2"/>
  <c r="M130" i="2"/>
  <c r="L130" i="2"/>
  <c r="S129" i="2"/>
  <c r="R129" i="2"/>
  <c r="Q129" i="2"/>
  <c r="P129" i="2"/>
  <c r="O129" i="2"/>
  <c r="N129" i="2"/>
  <c r="M129" i="2"/>
  <c r="L129" i="2"/>
  <c r="S128" i="2"/>
  <c r="R128" i="2"/>
  <c r="Q128" i="2"/>
  <c r="P128" i="2"/>
  <c r="O128" i="2"/>
  <c r="N128" i="2"/>
  <c r="M128" i="2"/>
  <c r="L128" i="2"/>
  <c r="S127" i="2"/>
  <c r="R127" i="2"/>
  <c r="Q127" i="2"/>
  <c r="P127" i="2"/>
  <c r="O127" i="2"/>
  <c r="N127" i="2"/>
  <c r="M127" i="2"/>
  <c r="L127" i="2"/>
  <c r="S126" i="2"/>
  <c r="R126" i="2"/>
  <c r="Q126" i="2"/>
  <c r="P126" i="2"/>
  <c r="O126" i="2"/>
  <c r="N126" i="2"/>
  <c r="M126" i="2"/>
  <c r="L126" i="2"/>
  <c r="S125" i="2"/>
  <c r="R125" i="2"/>
  <c r="Q125" i="2"/>
  <c r="P125" i="2"/>
  <c r="O125" i="2"/>
  <c r="N125" i="2"/>
  <c r="M125" i="2"/>
  <c r="L125" i="2"/>
  <c r="S124" i="2"/>
  <c r="R124" i="2"/>
  <c r="Q124" i="2"/>
  <c r="P124" i="2"/>
  <c r="O124" i="2"/>
  <c r="N124" i="2"/>
  <c r="M124" i="2"/>
  <c r="L124" i="2"/>
  <c r="S123" i="2"/>
  <c r="R123" i="2"/>
  <c r="Q123" i="2"/>
  <c r="P123" i="2"/>
  <c r="O123" i="2"/>
  <c r="N123" i="2"/>
  <c r="M123" i="2"/>
  <c r="L123" i="2"/>
  <c r="S122" i="2"/>
  <c r="R122" i="2"/>
  <c r="Q122" i="2"/>
  <c r="P122" i="2"/>
  <c r="O122" i="2"/>
  <c r="N122" i="2"/>
  <c r="M122" i="2"/>
  <c r="L122" i="2"/>
  <c r="S121" i="2"/>
  <c r="R121" i="2"/>
  <c r="Q121" i="2"/>
  <c r="P121" i="2"/>
  <c r="O121" i="2"/>
  <c r="N121" i="2"/>
  <c r="M121" i="2"/>
  <c r="L121" i="2"/>
  <c r="S120" i="2"/>
  <c r="R120" i="2"/>
  <c r="Q120" i="2"/>
  <c r="P120" i="2"/>
  <c r="O120" i="2"/>
  <c r="N120" i="2"/>
  <c r="M120" i="2"/>
  <c r="L120" i="2"/>
  <c r="S119" i="2"/>
  <c r="R119" i="2"/>
  <c r="Q119" i="2"/>
  <c r="P119" i="2"/>
  <c r="O119" i="2"/>
  <c r="N119" i="2"/>
  <c r="M119" i="2"/>
  <c r="L119" i="2"/>
  <c r="S118" i="2"/>
  <c r="R118" i="2"/>
  <c r="Q118" i="2"/>
  <c r="P118" i="2"/>
  <c r="O118" i="2"/>
  <c r="N118" i="2"/>
  <c r="M118" i="2"/>
  <c r="L118" i="2"/>
  <c r="S117" i="2"/>
  <c r="R117" i="2"/>
  <c r="Q117" i="2"/>
  <c r="P117" i="2"/>
  <c r="O117" i="2"/>
  <c r="N117" i="2"/>
  <c r="M117" i="2"/>
  <c r="L117" i="2"/>
  <c r="S116" i="2"/>
  <c r="R116" i="2"/>
  <c r="Q116" i="2"/>
  <c r="P116" i="2"/>
  <c r="O116" i="2"/>
  <c r="N116" i="2"/>
  <c r="M116" i="2"/>
  <c r="L116" i="2"/>
  <c r="S115" i="2"/>
  <c r="R115" i="2"/>
  <c r="Q115" i="2"/>
  <c r="P115" i="2"/>
  <c r="O115" i="2"/>
  <c r="N115" i="2"/>
  <c r="M115" i="2"/>
  <c r="L115" i="2"/>
  <c r="S114" i="2"/>
  <c r="R114" i="2"/>
  <c r="Q114" i="2"/>
  <c r="P114" i="2"/>
  <c r="O114" i="2"/>
  <c r="N114" i="2"/>
  <c r="M114" i="2"/>
  <c r="L114" i="2"/>
  <c r="S113" i="2"/>
  <c r="R113" i="2"/>
  <c r="Q113" i="2"/>
  <c r="P113" i="2"/>
  <c r="O113" i="2"/>
  <c r="N113" i="2"/>
  <c r="M113" i="2"/>
  <c r="L113" i="2"/>
  <c r="S112" i="2"/>
  <c r="R112" i="2"/>
  <c r="Q112" i="2"/>
  <c r="P112" i="2"/>
  <c r="O112" i="2"/>
  <c r="N112" i="2"/>
  <c r="M112" i="2"/>
  <c r="L112" i="2"/>
  <c r="S111" i="2"/>
  <c r="R111" i="2"/>
  <c r="Q111" i="2"/>
  <c r="P111" i="2"/>
  <c r="O111" i="2"/>
  <c r="N111" i="2"/>
  <c r="M111" i="2"/>
  <c r="L111" i="2"/>
  <c r="S110" i="2"/>
  <c r="R110" i="2"/>
  <c r="Q110" i="2"/>
  <c r="P110" i="2"/>
  <c r="O110" i="2"/>
  <c r="N110" i="2"/>
  <c r="M110" i="2"/>
  <c r="L110" i="2"/>
  <c r="S109" i="2"/>
  <c r="R109" i="2"/>
  <c r="Q109" i="2"/>
  <c r="P109" i="2"/>
  <c r="O109" i="2"/>
  <c r="N109" i="2"/>
  <c r="M109" i="2"/>
  <c r="L109" i="2"/>
  <c r="S108" i="2"/>
  <c r="R108" i="2"/>
  <c r="Q108" i="2"/>
  <c r="P108" i="2"/>
  <c r="O108" i="2"/>
  <c r="N108" i="2"/>
  <c r="M108" i="2"/>
  <c r="L108" i="2"/>
  <c r="S107" i="2"/>
  <c r="R107" i="2"/>
  <c r="Q107" i="2"/>
  <c r="P107" i="2"/>
  <c r="O107" i="2"/>
  <c r="N107" i="2"/>
  <c r="M107" i="2"/>
  <c r="L107" i="2"/>
  <c r="S106" i="2"/>
  <c r="R106" i="2"/>
  <c r="Q106" i="2"/>
  <c r="P106" i="2"/>
  <c r="O106" i="2"/>
  <c r="N106" i="2"/>
  <c r="M106" i="2"/>
  <c r="L106" i="2"/>
  <c r="S105" i="2"/>
  <c r="R105" i="2"/>
  <c r="Q105" i="2"/>
  <c r="P105" i="2"/>
  <c r="O105" i="2"/>
  <c r="N105" i="2"/>
  <c r="M105" i="2"/>
  <c r="L105" i="2"/>
  <c r="S104" i="2"/>
  <c r="R104" i="2"/>
  <c r="Q104" i="2"/>
  <c r="P104" i="2"/>
  <c r="O104" i="2"/>
  <c r="N104" i="2"/>
  <c r="M104" i="2"/>
  <c r="L104" i="2"/>
  <c r="S103" i="2"/>
  <c r="R103" i="2"/>
  <c r="Q103" i="2"/>
  <c r="P103" i="2"/>
  <c r="O103" i="2"/>
  <c r="N103" i="2"/>
  <c r="M103" i="2"/>
  <c r="L103" i="2"/>
  <c r="S102" i="2"/>
  <c r="R102" i="2"/>
  <c r="Q102" i="2"/>
  <c r="P102" i="2"/>
  <c r="O102" i="2"/>
  <c r="N102" i="2"/>
  <c r="M102" i="2"/>
  <c r="L102" i="2"/>
  <c r="S101" i="2"/>
  <c r="R101" i="2"/>
  <c r="Q101" i="2"/>
  <c r="P101" i="2"/>
  <c r="O101" i="2"/>
  <c r="N101" i="2"/>
  <c r="M101" i="2"/>
  <c r="L101" i="2"/>
  <c r="S100" i="2"/>
  <c r="R100" i="2"/>
  <c r="Q100" i="2"/>
  <c r="P100" i="2"/>
  <c r="O100" i="2"/>
  <c r="N100" i="2"/>
  <c r="M100" i="2"/>
  <c r="L100" i="2"/>
  <c r="S99" i="2"/>
  <c r="R99" i="2"/>
  <c r="Q99" i="2"/>
  <c r="P99" i="2"/>
  <c r="O99" i="2"/>
  <c r="N99" i="2"/>
  <c r="M99" i="2"/>
  <c r="L99" i="2"/>
  <c r="S98" i="2"/>
  <c r="R98" i="2"/>
  <c r="Q98" i="2"/>
  <c r="P98" i="2"/>
  <c r="O98" i="2"/>
  <c r="N98" i="2"/>
  <c r="M98" i="2"/>
  <c r="L98" i="2"/>
  <c r="S97" i="2"/>
  <c r="R97" i="2"/>
  <c r="Q97" i="2"/>
  <c r="P97" i="2"/>
  <c r="O97" i="2"/>
  <c r="N97" i="2"/>
  <c r="M97" i="2"/>
  <c r="L97" i="2"/>
  <c r="S96" i="2"/>
  <c r="R96" i="2"/>
  <c r="Q96" i="2"/>
  <c r="P96" i="2"/>
  <c r="O96" i="2"/>
  <c r="N96" i="2"/>
  <c r="M96" i="2"/>
  <c r="L96" i="2"/>
  <c r="S95" i="2"/>
  <c r="R95" i="2"/>
  <c r="Q95" i="2"/>
  <c r="P95" i="2"/>
  <c r="O95" i="2"/>
  <c r="N95" i="2"/>
  <c r="M95" i="2"/>
  <c r="L95" i="2"/>
  <c r="S94" i="2"/>
  <c r="R94" i="2"/>
  <c r="Q94" i="2"/>
  <c r="P94" i="2"/>
  <c r="O94" i="2"/>
  <c r="N94" i="2"/>
  <c r="M94" i="2"/>
  <c r="L94" i="2"/>
  <c r="S93" i="2"/>
  <c r="R93" i="2"/>
  <c r="Q93" i="2"/>
  <c r="P93" i="2"/>
  <c r="O93" i="2"/>
  <c r="N93" i="2"/>
  <c r="M93" i="2"/>
  <c r="L93" i="2"/>
  <c r="S92" i="2"/>
  <c r="R92" i="2"/>
  <c r="Q92" i="2"/>
  <c r="P92" i="2"/>
  <c r="O92" i="2"/>
  <c r="N92" i="2"/>
  <c r="M92" i="2"/>
  <c r="L92" i="2"/>
  <c r="S91" i="2"/>
  <c r="R91" i="2"/>
  <c r="Q91" i="2"/>
  <c r="P91" i="2"/>
  <c r="O91" i="2"/>
  <c r="N91" i="2"/>
  <c r="M91" i="2"/>
  <c r="L91" i="2"/>
  <c r="S90" i="2"/>
  <c r="R90" i="2"/>
  <c r="Q90" i="2"/>
  <c r="P90" i="2"/>
  <c r="O90" i="2"/>
  <c r="N90" i="2"/>
  <c r="M90" i="2"/>
  <c r="L90" i="2"/>
  <c r="S89" i="2"/>
  <c r="R89" i="2"/>
  <c r="Q89" i="2"/>
  <c r="P89" i="2"/>
  <c r="O89" i="2"/>
  <c r="N89" i="2"/>
  <c r="M89" i="2"/>
  <c r="L89" i="2"/>
  <c r="S88" i="2"/>
  <c r="R88" i="2"/>
  <c r="Q88" i="2"/>
  <c r="P88" i="2"/>
  <c r="O88" i="2"/>
  <c r="N88" i="2"/>
  <c r="M88" i="2"/>
  <c r="L88" i="2"/>
  <c r="S87" i="2"/>
  <c r="R87" i="2"/>
  <c r="Q87" i="2"/>
  <c r="P87" i="2"/>
  <c r="O87" i="2"/>
  <c r="N87" i="2"/>
  <c r="M87" i="2"/>
  <c r="L87" i="2"/>
  <c r="S86" i="2"/>
  <c r="R86" i="2"/>
  <c r="Q86" i="2"/>
  <c r="P86" i="2"/>
  <c r="O86" i="2"/>
  <c r="N86" i="2"/>
  <c r="M86" i="2"/>
  <c r="L86" i="2"/>
  <c r="S85" i="2"/>
  <c r="R85" i="2"/>
  <c r="Q85" i="2"/>
  <c r="P85" i="2"/>
  <c r="O85" i="2"/>
  <c r="N85" i="2"/>
  <c r="M85" i="2"/>
  <c r="L85" i="2"/>
  <c r="S84" i="2"/>
  <c r="R84" i="2"/>
  <c r="Q84" i="2"/>
  <c r="P84" i="2"/>
  <c r="O84" i="2"/>
  <c r="N84" i="2"/>
  <c r="M84" i="2"/>
  <c r="L84" i="2"/>
  <c r="S83" i="2"/>
  <c r="R83" i="2"/>
  <c r="Q83" i="2"/>
  <c r="P83" i="2"/>
  <c r="O83" i="2"/>
  <c r="N83" i="2"/>
  <c r="M83" i="2"/>
  <c r="L83" i="2"/>
  <c r="S82" i="2"/>
  <c r="R82" i="2"/>
  <c r="Q82" i="2"/>
  <c r="P82" i="2"/>
  <c r="O82" i="2"/>
  <c r="N82" i="2"/>
  <c r="M82" i="2"/>
  <c r="L82" i="2"/>
  <c r="S81" i="2"/>
  <c r="R81" i="2"/>
  <c r="Q81" i="2"/>
  <c r="P81" i="2"/>
  <c r="O81" i="2"/>
  <c r="N81" i="2"/>
  <c r="M81" i="2"/>
  <c r="L81" i="2"/>
  <c r="S80" i="2"/>
  <c r="R80" i="2"/>
  <c r="Q80" i="2"/>
  <c r="P80" i="2"/>
  <c r="O80" i="2"/>
  <c r="N80" i="2"/>
  <c r="M80" i="2"/>
  <c r="L80" i="2"/>
  <c r="S79" i="2"/>
  <c r="R79" i="2"/>
  <c r="Q79" i="2"/>
  <c r="P79" i="2"/>
  <c r="O79" i="2"/>
  <c r="N79" i="2"/>
  <c r="M79" i="2"/>
  <c r="L79" i="2"/>
  <c r="S78" i="2"/>
  <c r="R78" i="2"/>
  <c r="Q78" i="2"/>
  <c r="P78" i="2"/>
  <c r="O78" i="2"/>
  <c r="N78" i="2"/>
  <c r="M78" i="2"/>
  <c r="L78" i="2"/>
  <c r="S77" i="2"/>
  <c r="R77" i="2"/>
  <c r="Q77" i="2"/>
  <c r="P77" i="2"/>
  <c r="O77" i="2"/>
  <c r="N77" i="2"/>
  <c r="M77" i="2"/>
  <c r="L77" i="2"/>
  <c r="S76" i="2"/>
  <c r="R76" i="2"/>
  <c r="Q76" i="2"/>
  <c r="P76" i="2"/>
  <c r="O76" i="2"/>
  <c r="N76" i="2"/>
  <c r="M76" i="2"/>
  <c r="L76" i="2"/>
  <c r="S75" i="2"/>
  <c r="R75" i="2"/>
  <c r="Q75" i="2"/>
  <c r="P75" i="2"/>
  <c r="O75" i="2"/>
  <c r="N75" i="2"/>
  <c r="M75" i="2"/>
  <c r="L75" i="2"/>
  <c r="S74" i="2"/>
  <c r="R74" i="2"/>
  <c r="Q74" i="2"/>
  <c r="P74" i="2"/>
  <c r="O74" i="2"/>
  <c r="N74" i="2"/>
  <c r="M74" i="2"/>
  <c r="L74" i="2"/>
  <c r="S73" i="2"/>
  <c r="R73" i="2"/>
  <c r="Q73" i="2"/>
  <c r="P73" i="2"/>
  <c r="O73" i="2"/>
  <c r="N73" i="2"/>
  <c r="M73" i="2"/>
  <c r="L73" i="2"/>
  <c r="S72" i="2"/>
  <c r="R72" i="2"/>
  <c r="Q72" i="2"/>
  <c r="P72" i="2"/>
  <c r="O72" i="2"/>
  <c r="N72" i="2"/>
  <c r="M72" i="2"/>
  <c r="L72" i="2"/>
  <c r="S71" i="2"/>
  <c r="R71" i="2"/>
  <c r="Q71" i="2"/>
  <c r="P71" i="2"/>
  <c r="O71" i="2"/>
  <c r="N71" i="2"/>
  <c r="M71" i="2"/>
  <c r="L71" i="2"/>
  <c r="S70" i="2"/>
  <c r="R70" i="2"/>
  <c r="Q70" i="2"/>
  <c r="P70" i="2"/>
  <c r="O70" i="2"/>
  <c r="N70" i="2"/>
  <c r="M70" i="2"/>
  <c r="L70" i="2"/>
  <c r="S69" i="2"/>
  <c r="R69" i="2"/>
  <c r="Q69" i="2"/>
  <c r="P69" i="2"/>
  <c r="O69" i="2"/>
  <c r="N69" i="2"/>
  <c r="M69" i="2"/>
  <c r="L69" i="2"/>
  <c r="S68" i="2"/>
  <c r="R68" i="2"/>
  <c r="Q68" i="2"/>
  <c r="P68" i="2"/>
  <c r="O68" i="2"/>
  <c r="N68" i="2"/>
  <c r="M68" i="2"/>
  <c r="L68" i="2"/>
  <c r="S67" i="2"/>
  <c r="R67" i="2"/>
  <c r="Q67" i="2"/>
  <c r="P67" i="2"/>
  <c r="O67" i="2"/>
  <c r="N67" i="2"/>
  <c r="M67" i="2"/>
  <c r="L67" i="2"/>
  <c r="S66" i="2"/>
  <c r="R66" i="2"/>
  <c r="Q66" i="2"/>
  <c r="P66" i="2"/>
  <c r="O66" i="2"/>
  <c r="N66" i="2"/>
  <c r="M66" i="2"/>
  <c r="L66" i="2"/>
  <c r="S65" i="2"/>
  <c r="R65" i="2"/>
  <c r="Q65" i="2"/>
  <c r="P65" i="2"/>
  <c r="O65" i="2"/>
  <c r="N65" i="2"/>
  <c r="M65" i="2"/>
  <c r="L65" i="2"/>
  <c r="S64" i="2"/>
  <c r="R64" i="2"/>
  <c r="Q64" i="2"/>
  <c r="P64" i="2"/>
  <c r="O64" i="2"/>
  <c r="N64" i="2"/>
  <c r="M64" i="2"/>
  <c r="L64" i="2"/>
  <c r="S63" i="2"/>
  <c r="R63" i="2"/>
  <c r="Q63" i="2"/>
  <c r="P63" i="2"/>
  <c r="O63" i="2"/>
  <c r="N63" i="2"/>
  <c r="M63" i="2"/>
  <c r="L63" i="2"/>
  <c r="S62" i="2"/>
  <c r="R62" i="2"/>
  <c r="Q62" i="2"/>
  <c r="P62" i="2"/>
  <c r="O62" i="2"/>
  <c r="N62" i="2"/>
  <c r="M62" i="2"/>
  <c r="L62" i="2"/>
  <c r="S61" i="2"/>
  <c r="R61" i="2"/>
  <c r="Q61" i="2"/>
  <c r="P61" i="2"/>
  <c r="O61" i="2"/>
  <c r="N61" i="2"/>
  <c r="M61" i="2"/>
  <c r="L61" i="2"/>
  <c r="S60" i="2"/>
  <c r="R60" i="2"/>
  <c r="Q60" i="2"/>
  <c r="P60" i="2"/>
  <c r="O60" i="2"/>
  <c r="N60" i="2"/>
  <c r="M60" i="2"/>
  <c r="L60" i="2"/>
  <c r="S59" i="2"/>
  <c r="R59" i="2"/>
  <c r="Q59" i="2"/>
  <c r="P59" i="2"/>
  <c r="O59" i="2"/>
  <c r="N59" i="2"/>
  <c r="M59" i="2"/>
  <c r="L59" i="2"/>
  <c r="S58" i="2"/>
  <c r="R58" i="2"/>
  <c r="Q58" i="2"/>
  <c r="P58" i="2"/>
  <c r="O58" i="2"/>
  <c r="N58" i="2"/>
  <c r="M58" i="2"/>
  <c r="L58" i="2"/>
  <c r="S57" i="2"/>
  <c r="R57" i="2"/>
  <c r="Q57" i="2"/>
  <c r="P57" i="2"/>
  <c r="O57" i="2"/>
  <c r="N57" i="2"/>
  <c r="M57" i="2"/>
  <c r="L57" i="2"/>
  <c r="S56" i="2"/>
  <c r="R56" i="2"/>
  <c r="Q56" i="2"/>
  <c r="P56" i="2"/>
  <c r="O56" i="2"/>
  <c r="N56" i="2"/>
  <c r="M56" i="2"/>
  <c r="L56" i="2"/>
  <c r="S55" i="2"/>
  <c r="R55" i="2"/>
  <c r="Q55" i="2"/>
  <c r="P55" i="2"/>
  <c r="O55" i="2"/>
  <c r="N55" i="2"/>
  <c r="M55" i="2"/>
  <c r="L55" i="2"/>
  <c r="S54" i="2"/>
  <c r="R54" i="2"/>
  <c r="Q54" i="2"/>
  <c r="P54" i="2"/>
  <c r="O54" i="2"/>
  <c r="N54" i="2"/>
  <c r="M54" i="2"/>
  <c r="L54" i="2"/>
  <c r="S53" i="2"/>
  <c r="R53" i="2"/>
  <c r="Q53" i="2"/>
  <c r="P53" i="2"/>
  <c r="O53" i="2"/>
  <c r="N53" i="2"/>
  <c r="M53" i="2"/>
  <c r="L53" i="2"/>
  <c r="S52" i="2"/>
  <c r="R52" i="2"/>
  <c r="Q52" i="2"/>
  <c r="P52" i="2"/>
  <c r="O52" i="2"/>
  <c r="N52" i="2"/>
  <c r="M52" i="2"/>
  <c r="L52" i="2"/>
  <c r="S51" i="2"/>
  <c r="R51" i="2"/>
  <c r="Q51" i="2"/>
  <c r="P51" i="2"/>
  <c r="O51" i="2"/>
  <c r="N51" i="2"/>
  <c r="M51" i="2"/>
  <c r="L51" i="2"/>
  <c r="S50" i="2"/>
  <c r="R50" i="2"/>
  <c r="Q50" i="2"/>
  <c r="P50" i="2"/>
  <c r="O50" i="2"/>
  <c r="N50" i="2"/>
  <c r="M50" i="2"/>
  <c r="L50" i="2"/>
  <c r="S49" i="2"/>
  <c r="R49" i="2"/>
  <c r="Q49" i="2"/>
  <c r="P49" i="2"/>
  <c r="O49" i="2"/>
  <c r="N49" i="2"/>
  <c r="M49" i="2"/>
  <c r="L49" i="2"/>
  <c r="S48" i="2"/>
  <c r="R48" i="2"/>
  <c r="Q48" i="2"/>
  <c r="P48" i="2"/>
  <c r="O48" i="2"/>
  <c r="N48" i="2"/>
  <c r="M48" i="2"/>
  <c r="L48" i="2"/>
  <c r="S47" i="2"/>
  <c r="R47" i="2"/>
  <c r="Q47" i="2"/>
  <c r="P47" i="2"/>
  <c r="O47" i="2"/>
  <c r="N47" i="2"/>
  <c r="M47" i="2"/>
  <c r="L47" i="2"/>
  <c r="S46" i="2"/>
  <c r="R46" i="2"/>
  <c r="Q46" i="2"/>
  <c r="P46" i="2"/>
  <c r="O46" i="2"/>
  <c r="N46" i="2"/>
  <c r="M46" i="2"/>
  <c r="L46" i="2"/>
  <c r="S45" i="2"/>
  <c r="R45" i="2"/>
  <c r="Q45" i="2"/>
  <c r="P45" i="2"/>
  <c r="O45" i="2"/>
  <c r="N45" i="2"/>
  <c r="M45" i="2"/>
  <c r="L45" i="2"/>
  <c r="S44" i="2"/>
  <c r="R44" i="2"/>
  <c r="Q44" i="2"/>
  <c r="P44" i="2"/>
  <c r="O44" i="2"/>
  <c r="N44" i="2"/>
  <c r="M44" i="2"/>
  <c r="L44" i="2"/>
  <c r="S43" i="2"/>
  <c r="R43" i="2"/>
  <c r="Q43" i="2"/>
  <c r="P43" i="2"/>
  <c r="O43" i="2"/>
  <c r="N43" i="2"/>
  <c r="M43" i="2"/>
  <c r="L43" i="2"/>
  <c r="S42" i="2"/>
  <c r="R42" i="2"/>
  <c r="Q42" i="2"/>
  <c r="P42" i="2"/>
  <c r="O42" i="2"/>
  <c r="N42" i="2"/>
  <c r="M42" i="2"/>
  <c r="L42" i="2"/>
  <c r="S41" i="2"/>
  <c r="R41" i="2"/>
  <c r="Q41" i="2"/>
  <c r="P41" i="2"/>
  <c r="O41" i="2"/>
  <c r="N41" i="2"/>
  <c r="M41" i="2"/>
  <c r="L41" i="2"/>
  <c r="S40" i="2"/>
  <c r="R40" i="2"/>
  <c r="Q40" i="2"/>
  <c r="P40" i="2"/>
  <c r="O40" i="2"/>
  <c r="N40" i="2"/>
  <c r="M40" i="2"/>
  <c r="L40" i="2"/>
  <c r="S39" i="2"/>
  <c r="R39" i="2"/>
  <c r="Q39" i="2"/>
  <c r="P39" i="2"/>
  <c r="O39" i="2"/>
  <c r="N39" i="2"/>
  <c r="M39" i="2"/>
  <c r="L39" i="2"/>
  <c r="S38" i="2"/>
  <c r="R38" i="2"/>
  <c r="Q38" i="2"/>
  <c r="P38" i="2"/>
  <c r="O38" i="2"/>
  <c r="N38" i="2"/>
  <c r="M38" i="2"/>
  <c r="L38" i="2"/>
  <c r="S37" i="2"/>
  <c r="R37" i="2"/>
  <c r="Q37" i="2"/>
  <c r="P37" i="2"/>
  <c r="O37" i="2"/>
  <c r="N37" i="2"/>
  <c r="M37" i="2"/>
  <c r="L37" i="2"/>
  <c r="S36" i="2"/>
  <c r="R36" i="2"/>
  <c r="Q36" i="2"/>
  <c r="P36" i="2"/>
  <c r="O36" i="2"/>
  <c r="N36" i="2"/>
  <c r="M36" i="2"/>
  <c r="L36" i="2"/>
  <c r="S35" i="2"/>
  <c r="R35" i="2"/>
  <c r="Q35" i="2"/>
  <c r="P35" i="2"/>
  <c r="O35" i="2"/>
  <c r="N35" i="2"/>
  <c r="M35" i="2"/>
  <c r="L35" i="2"/>
  <c r="S34" i="2"/>
  <c r="R34" i="2"/>
  <c r="Q34" i="2"/>
  <c r="P34" i="2"/>
  <c r="O34" i="2"/>
  <c r="N34" i="2"/>
  <c r="M34" i="2"/>
  <c r="L34" i="2"/>
  <c r="S33" i="2"/>
  <c r="R33" i="2"/>
  <c r="Q33" i="2"/>
  <c r="P33" i="2"/>
  <c r="O33" i="2"/>
  <c r="N33" i="2"/>
  <c r="M33" i="2"/>
  <c r="L33" i="2"/>
  <c r="S32" i="2"/>
  <c r="R32" i="2"/>
  <c r="Q32" i="2"/>
  <c r="P32" i="2"/>
  <c r="O32" i="2"/>
  <c r="N32" i="2"/>
  <c r="M32" i="2"/>
  <c r="L32" i="2"/>
  <c r="S31" i="2"/>
  <c r="R31" i="2"/>
  <c r="Q31" i="2"/>
  <c r="P31" i="2"/>
  <c r="O31" i="2"/>
  <c r="N31" i="2"/>
  <c r="M31" i="2"/>
  <c r="L31" i="2"/>
  <c r="S30" i="2"/>
  <c r="R30" i="2"/>
  <c r="Q30" i="2"/>
  <c r="P30" i="2"/>
  <c r="O30" i="2"/>
  <c r="N30" i="2"/>
  <c r="M30" i="2"/>
  <c r="L30" i="2"/>
  <c r="S29" i="2"/>
  <c r="R29" i="2"/>
  <c r="Q29" i="2"/>
  <c r="P29" i="2"/>
  <c r="O29" i="2"/>
  <c r="N29" i="2"/>
  <c r="M29" i="2"/>
  <c r="L29" i="2"/>
  <c r="S28" i="2"/>
  <c r="R28" i="2"/>
  <c r="Q28" i="2"/>
  <c r="P28" i="2"/>
  <c r="O28" i="2"/>
  <c r="N28" i="2"/>
  <c r="M28" i="2"/>
  <c r="L28" i="2"/>
  <c r="S27" i="2"/>
  <c r="R27" i="2"/>
  <c r="Q27" i="2"/>
  <c r="P27" i="2"/>
  <c r="O27" i="2"/>
  <c r="N27" i="2"/>
  <c r="M27" i="2"/>
  <c r="L27" i="2"/>
  <c r="S26" i="2"/>
  <c r="R26" i="2"/>
  <c r="Q26" i="2"/>
  <c r="P26" i="2"/>
  <c r="O26" i="2"/>
  <c r="N26" i="2"/>
  <c r="M26" i="2"/>
  <c r="L26" i="2"/>
  <c r="S25" i="2"/>
  <c r="R25" i="2"/>
  <c r="Q25" i="2"/>
  <c r="P25" i="2"/>
  <c r="O25" i="2"/>
  <c r="N25" i="2"/>
  <c r="M25" i="2"/>
  <c r="L25" i="2"/>
  <c r="S24" i="2"/>
  <c r="R24" i="2"/>
  <c r="Q24" i="2"/>
  <c r="P24" i="2"/>
  <c r="O24" i="2"/>
  <c r="N24" i="2"/>
  <c r="M24" i="2"/>
  <c r="L24" i="2"/>
  <c r="S23" i="2"/>
  <c r="R23" i="2"/>
  <c r="Q23" i="2"/>
  <c r="P23" i="2"/>
  <c r="O23" i="2"/>
  <c r="N23" i="2"/>
  <c r="M23" i="2"/>
  <c r="L23" i="2"/>
  <c r="S22" i="2"/>
  <c r="R22" i="2"/>
  <c r="Q22" i="2"/>
  <c r="P22" i="2"/>
  <c r="O22" i="2"/>
  <c r="N22" i="2"/>
  <c r="M22" i="2"/>
  <c r="L22" i="2"/>
  <c r="S21" i="2"/>
  <c r="R21" i="2"/>
  <c r="Q21" i="2"/>
  <c r="P21" i="2"/>
  <c r="O21" i="2"/>
  <c r="N21" i="2"/>
  <c r="M21" i="2"/>
  <c r="L21" i="2"/>
  <c r="S20" i="2"/>
  <c r="R20" i="2"/>
  <c r="Q20" i="2"/>
  <c r="P20" i="2"/>
  <c r="O20" i="2"/>
  <c r="N20" i="2"/>
  <c r="M20" i="2"/>
  <c r="L20" i="2"/>
  <c r="S19" i="2"/>
  <c r="R19" i="2"/>
  <c r="Q19" i="2"/>
  <c r="P19" i="2"/>
  <c r="O19" i="2"/>
  <c r="N19" i="2"/>
  <c r="M19" i="2"/>
  <c r="L19" i="2"/>
  <c r="S18" i="2"/>
  <c r="R18" i="2"/>
  <c r="Q18" i="2"/>
  <c r="P18" i="2"/>
  <c r="O18" i="2"/>
  <c r="N18" i="2"/>
  <c r="M18" i="2"/>
  <c r="L18" i="2"/>
  <c r="S17" i="2"/>
  <c r="R17" i="2"/>
  <c r="Q17" i="2"/>
  <c r="P17" i="2"/>
  <c r="O17" i="2"/>
  <c r="N17" i="2"/>
  <c r="M17" i="2"/>
  <c r="L17" i="2"/>
  <c r="S16" i="2"/>
  <c r="R16" i="2"/>
  <c r="Q16" i="2"/>
  <c r="P16" i="2"/>
  <c r="O16" i="2"/>
  <c r="N16" i="2"/>
  <c r="M16" i="2"/>
  <c r="L16" i="2"/>
  <c r="S15" i="2"/>
  <c r="R15" i="2"/>
  <c r="Q15" i="2"/>
  <c r="P15" i="2"/>
  <c r="O15" i="2"/>
  <c r="N15" i="2"/>
  <c r="M15" i="2"/>
  <c r="L15" i="2"/>
  <c r="S14" i="2"/>
  <c r="R14" i="2"/>
  <c r="Q14" i="2"/>
  <c r="P14" i="2"/>
  <c r="O14" i="2"/>
  <c r="N14" i="2"/>
  <c r="M14" i="2"/>
  <c r="L14" i="2"/>
  <c r="S13" i="2"/>
  <c r="R13" i="2"/>
  <c r="Q13" i="2"/>
  <c r="P13" i="2"/>
  <c r="O13" i="2"/>
  <c r="N13" i="2"/>
  <c r="M13" i="2"/>
  <c r="L13" i="2"/>
  <c r="S12" i="2"/>
  <c r="R12" i="2"/>
  <c r="Q12" i="2"/>
  <c r="P12" i="2"/>
  <c r="O12" i="2"/>
  <c r="N12" i="2"/>
  <c r="M12" i="2"/>
  <c r="L12" i="2"/>
  <c r="S11" i="2"/>
  <c r="R11" i="2"/>
  <c r="Q11" i="2"/>
  <c r="P11" i="2"/>
  <c r="O11" i="2"/>
  <c r="N11" i="2"/>
  <c r="M11" i="2"/>
  <c r="L11" i="2"/>
  <c r="S10" i="2"/>
  <c r="R10" i="2"/>
  <c r="Q10" i="2"/>
  <c r="P10" i="2"/>
  <c r="O10" i="2"/>
  <c r="N10" i="2"/>
  <c r="M10" i="2"/>
  <c r="L10" i="2"/>
  <c r="S9" i="2"/>
  <c r="R9" i="2"/>
  <c r="Q9" i="2"/>
  <c r="P9" i="2"/>
  <c r="O9" i="2"/>
  <c r="N9" i="2"/>
  <c r="M9" i="2"/>
  <c r="L9" i="2"/>
  <c r="S8" i="2"/>
  <c r="R8" i="2"/>
  <c r="Q8" i="2"/>
  <c r="P8" i="2"/>
  <c r="O8" i="2"/>
  <c r="N8" i="2"/>
  <c r="M8" i="2"/>
  <c r="L8" i="2"/>
  <c r="S7" i="2"/>
  <c r="R7" i="2"/>
  <c r="Q7" i="2"/>
  <c r="P7" i="2"/>
  <c r="O7" i="2"/>
  <c r="N7" i="2"/>
  <c r="M7" i="2"/>
  <c r="L7" i="2"/>
  <c r="S6" i="2"/>
  <c r="R6" i="2"/>
  <c r="Q6" i="2"/>
  <c r="P6" i="2"/>
  <c r="O6" i="2"/>
  <c r="N6" i="2"/>
  <c r="M6" i="2"/>
  <c r="L6" i="2"/>
  <c r="S5" i="2"/>
  <c r="R5" i="2"/>
  <c r="Q5" i="2"/>
  <c r="P5" i="2"/>
  <c r="O5" i="2"/>
  <c r="N5" i="2"/>
  <c r="M5" i="2"/>
  <c r="L5" i="2"/>
  <c r="S4" i="2"/>
  <c r="R4" i="2"/>
  <c r="Q4" i="2"/>
  <c r="P4" i="2"/>
  <c r="O4" i="2"/>
  <c r="N4" i="2"/>
  <c r="M4" i="2"/>
  <c r="L4" i="2"/>
  <c r="S3" i="2"/>
  <c r="R3" i="2"/>
  <c r="Q3" i="2"/>
  <c r="P3" i="2"/>
  <c r="O3" i="2"/>
  <c r="N3" i="2"/>
  <c r="M3" i="2"/>
  <c r="L3" i="2"/>
  <c r="S2" i="2"/>
  <c r="R2" i="2"/>
  <c r="Q2" i="2"/>
  <c r="P2" i="2"/>
  <c r="O2" i="2"/>
  <c r="N2" i="2"/>
  <c r="M2" i="2"/>
  <c r="L2" i="2"/>
  <c r="E8" i="4"/>
  <c r="D8" i="4"/>
  <c r="C8" i="4"/>
  <c r="E7" i="4"/>
  <c r="D7" i="4"/>
  <c r="C7" i="4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J7" i="1"/>
  <c r="F7" i="1"/>
  <c r="B7" i="1"/>
  <c r="B3" i="1"/>
  <c r="D9" i="4" l="1"/>
  <c r="D10" i="4" s="1"/>
  <c r="E9" i="4"/>
  <c r="E10" i="4" s="1"/>
  <c r="C9" i="4"/>
  <c r="C10" i="4" s="1"/>
</calcChain>
</file>

<file path=xl/sharedStrings.xml><?xml version="1.0" encoding="utf-8"?>
<sst xmlns="http://schemas.openxmlformats.org/spreadsheetml/2006/main" count="1638" uniqueCount="78">
  <si>
    <t>Dashboard Ejecutivo — Cosmética Directa 2026</t>
  </si>
  <si>
    <t>VENTAS TOTALES 2026</t>
  </si>
  <si>
    <t>% MARGEN</t>
  </si>
  <si>
    <t>CRECIMIENTO H2 vs H1</t>
  </si>
  <si>
    <t>Meta: 45%</t>
  </si>
  <si>
    <t>Precio vs. Costo por transacción — detección de anomalías de pricing</t>
  </si>
  <si>
    <t>Notas de Análisis</t>
  </si>
  <si>
    <t>1. La facturación cae 23,4% en el segundo semestre respecto al primero, con el punto más bajo en agosto — no es una caída puntual de un mes, es una tendencia sostenida de 4-5 meses.</t>
  </si>
  <si>
    <t>2. El margen global (48,9%) está por encima de la meta del 45%, así que la caída de ventas no viene acompañada (todavía) de un problema de rentabilidad por unidad vendida.</t>
  </si>
  <si>
    <t>3. En el gráfico de Precio vs. Costo no se ven outliers claros fuera del agrupamiento de cada categoría — la caída de facturación parece ser de volumen, no de una categoría con pricing roto.</t>
  </si>
  <si>
    <t>Fecha</t>
  </si>
  <si>
    <t>Cliente</t>
  </si>
  <si>
    <t>Region</t>
  </si>
  <si>
    <t>Producto</t>
  </si>
  <si>
    <t>Categoria</t>
  </si>
  <si>
    <t>Unidades</t>
  </si>
  <si>
    <t>Precio_Unitario</t>
  </si>
  <si>
    <t>Costo_Unitario</t>
  </si>
  <si>
    <t>Monto_Venta</t>
  </si>
  <si>
    <t>Costo_Total</t>
  </si>
  <si>
    <t>Margen_Neto</t>
  </si>
  <si>
    <t>Precio_Maquillaje</t>
  </si>
  <si>
    <t>Costo_Maquillaje</t>
  </si>
  <si>
    <t>Precio_Perfumería</t>
  </si>
  <si>
    <t>Costo_Perfumería</t>
  </si>
  <si>
    <t>Precio_Cuidado Facial</t>
  </si>
  <si>
    <t>Costo_Cuidado Facial</t>
  </si>
  <si>
    <t>Precio_Capilar</t>
  </si>
  <si>
    <t>Costo_Capilar</t>
  </si>
  <si>
    <t>Mes</t>
  </si>
  <si>
    <t>Consultora Elena</t>
  </si>
  <si>
    <t>Sur</t>
  </si>
  <si>
    <t>Fragancia Absolute Homme</t>
  </si>
  <si>
    <t>Perfumería</t>
  </si>
  <si>
    <t>Consultora Lucía</t>
  </si>
  <si>
    <t>Cuyo</t>
  </si>
  <si>
    <t>Base Fluida HD</t>
  </si>
  <si>
    <t>Maquillaje</t>
  </si>
  <si>
    <t>Consultora Sofía</t>
  </si>
  <si>
    <t>Sérum Ácido Hialurónico</t>
  </si>
  <si>
    <t>Cuidado Facial</t>
  </si>
  <si>
    <t>Venta Web Directa</t>
  </si>
  <si>
    <t>Shampoo Nutrición</t>
  </si>
  <si>
    <t>Capilar</t>
  </si>
  <si>
    <t>Labial Matte Long</t>
  </si>
  <si>
    <t>Máscara Reconstructora</t>
  </si>
  <si>
    <t>Consultora Laura</t>
  </si>
  <si>
    <t>Perfume Colonia Femme</t>
  </si>
  <si>
    <t>Norte</t>
  </si>
  <si>
    <t>Crema Hidratante Día</t>
  </si>
  <si>
    <t>Estadística Descriptiva — Monto de Venta</t>
  </si>
  <si>
    <t>Variable analizada: Monto_Venta (columna I de Datos_Base). Podés confirmar estos valores corriendo Datos &gt; Análisis de datos &gt; Estadística descriptiva sobre el mismo rango.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</si>
  <si>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</si>
  <si>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</si>
  <si>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</si>
  <si>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</si>
  <si>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</si>
  <si>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</si>
  <si>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</si>
  <si>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</si>
  <si>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</si>
  <si>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</si>
  <si>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</si>
  <si>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</si>
  <si>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</si>
  <si>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Resumen de Escenarios — Sensibilidad del Margen Neto al Costo</t>
  </si>
  <si>
    <t>Variable variada: Costo_Unitario (±10%). Podés replicar esto con el Administrador de Escenarios (Datos &gt; Análisis de hipótesis &gt; Administrador de escenarios) usando estos mismos 3 valores.</t>
  </si>
  <si>
    <t>Supuesto</t>
  </si>
  <si>
    <t>Pesimista</t>
  </si>
  <si>
    <t>Base</t>
  </si>
  <si>
    <t>Optimista</t>
  </si>
  <si>
    <t>Variación de Costo_Unitario</t>
  </si>
  <si>
    <t>Monto Venta Total</t>
  </si>
  <si>
    <t>Costo Total ajustado</t>
  </si>
  <si>
    <t>Margen Neto Total</t>
  </si>
  <si>
    <t>Margen %</t>
  </si>
  <si>
    <t>Facturación acumulada enero–diciembre</t>
  </si>
  <si>
    <t>Segundo semestre vs. primer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</si>
</sst>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dd/mm/yyyy"/>
  </numFmts>
  <fonts count="19" x14ac:knownFonts="1">
    <font>
      <sz val="11"/>
      <color theme="1"/>
      <name val="Calibri"/>
      <family val="2"/>
      <charset val="1"/>
    </font>
    <font>
      <i/>
      <sz val="12"/>
      <color rgb="FF555555"/>
      <name val="Arial"/>
      <charset val="1"/>
    </font>
    <font>
      <b/>
      <sz val="10"/>
      <color rgb="FF1F4E78"/>
      <name val="Arial"/>
      <charset val="1"/>
    </font>
    <font>
      <b/>
      <sz val="22"/>
      <color rgb="FF1F4E78"/>
      <name val="Arial"/>
      <charset val="1"/>
    </font>
    <font>
      <sz val="10"/>
      <name val="Arial"/>
      <charset val="1"/>
    </font>
    <font>
      <i/>
      <sz val="10"/>
      <color rgb="FFC00000"/>
      <name val="Arial"/>
      <charset val="1"/>
    </font>
    <font>
      <b/>
      <sz val="10"/>
      <color rgb="FFFFFFFF"/>
      <name val="Arial"/>
      <charset val="1"/>
    </font>
    <font>
      <b/>
      <sz val="14"/>
      <color rgb="FF1F4E78"/>
      <name val="Arial"/>
      <charset val="1"/>
    </font>
    <font>
      <i/>
      <sz val="9"/>
      <color rgb="FF666666"/>
      <name val="Arial"/>
      <charset val="1"/>
    </font>
    <font>
      <b/>
      <sz val="10"/>
      <name val="Arial"/>
      <charset val="1"/>
    </font>
    <font>
      <b/>
      <sz val="20"/>
      <color rgb="FFFFFFFF"/>
      <name val="Arial"/>
    </font>
    <font>
      <i/>
      <sz val="11"/>
      <color rgb="FFBDD7EE"/>
      <name val="Arial"/>
    </font>
    <font>
      <b/>
      <sz val="9"/>
      <color rgb="FF7F7F7F"/>
      <name val="Arial"/>
    </font>
    <font>
      <b/>
      <sz val="24"/>
      <color rgb="FF1F4E78"/>
      <name val="Arial"/>
    </font>
    <font>
      <b/>
      <sz val="24"/>
      <color rgb="FF2E7D32"/>
      <name val="Arial"/>
    </font>
    <font>
      <b/>
      <sz val="24"/>
      <color rgb="FFC00000"/>
      <name val="Arial"/>
    </font>
    <font>
      <i/>
      <sz val="9"/>
      <color rgb="FF7F7F7F"/>
      <name val="Arial"/>
      <charset val="1"/>
    </font>
    <font>
      <b/>
      <sz val="11"/>
      <color rgb="FF1F4E78"/>
      <name val="Arial"/>
    </font>
    <font>
      <sz val="10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rgb="FFF5F6F8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5F6F8"/>
        <bgColor indexed="64"/>
      </patternFill>
    </fill>
    <fill>
      <patternFill patternType="solid">
        <fgColor rgb="FF1F4E78"/>
        <bgColor indexed="64"/>
      </patternFill>
    </fill>
  </fills>
  <borders count="19">
    <border>
      <left/>
      <right/>
      <top/>
      <bottom/>
      <diagonal/>
    </border>
    <border>
      <left style="thin">
        <color rgb="FFD6DCE4"/>
      </left>
      <right/>
      <top/>
      <bottom/>
      <diagonal/>
    </border>
    <border>
      <left/>
      <right style="thin">
        <color rgb="FFD6DCE4"/>
      </right>
      <top/>
      <bottom/>
      <diagonal/>
    </border>
    <border>
      <left style="thin">
        <color rgb="FFD6DCE4"/>
      </left>
      <right/>
      <top/>
      <bottom style="thin">
        <color rgb="FFD6DCE4"/>
      </bottom>
      <diagonal/>
    </border>
    <border>
      <left/>
      <right/>
      <top/>
      <bottom style="thin">
        <color rgb="FFD6DCE4"/>
      </bottom>
      <diagonal/>
    </border>
    <border>
      <left/>
      <right style="thin">
        <color rgb="FFD6DCE4"/>
      </right>
      <top/>
      <bottom style="thin">
        <color rgb="FFD6DCE4"/>
      </bottom>
      <diagonal/>
    </border>
    <border>
      <left style="thin">
        <color rgb="FFD6DCE4"/>
      </left>
      <right/>
      <top style="thick">
        <color rgb="FF1F4E78"/>
      </top>
      <bottom/>
      <diagonal/>
    </border>
    <border>
      <left/>
      <right/>
      <top style="thick">
        <color rgb="FF1F4E78"/>
      </top>
      <bottom/>
      <diagonal/>
    </border>
    <border>
      <left/>
      <right style="thin">
        <color rgb="FFD6DCE4"/>
      </right>
      <top style="thick">
        <color rgb="FF1F4E78"/>
      </top>
      <bottom/>
      <diagonal/>
    </border>
    <border>
      <left style="thin">
        <color rgb="FFD6DCE4"/>
      </left>
      <right/>
      <top style="thick">
        <color rgb="FF2E7D32"/>
      </top>
      <bottom/>
      <diagonal/>
    </border>
    <border>
      <left/>
      <right/>
      <top style="thick">
        <color rgb="FF2E7D32"/>
      </top>
      <bottom/>
      <diagonal/>
    </border>
    <border>
      <left/>
      <right style="thin">
        <color rgb="FFD6DCE4"/>
      </right>
      <top style="thick">
        <color rgb="FF2E7D32"/>
      </top>
      <bottom/>
      <diagonal/>
    </border>
    <border>
      <left style="thin">
        <color rgb="FFD6DCE4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n">
        <color rgb="FFD6DCE4"/>
      </right>
      <top style="thick">
        <color rgb="FFC00000"/>
      </top>
      <bottom/>
      <diagonal/>
    </border>
    <border>
      <left style="thick">
        <color rgb="FF1F4E78"/>
      </left>
      <right/>
      <top/>
      <bottom/>
      <diagonal/>
    </border>
    <border>
      <left style="thin">
        <color rgb="FFD6DCE4"/>
      </left>
      <right/>
      <top style="thin">
        <color rgb="FFD6DCE4"/>
      </top>
      <bottom/>
      <diagonal/>
    </border>
    <border>
      <left/>
      <right/>
      <top style="thin">
        <color rgb="FFD6DCE4"/>
      </top>
      <bottom/>
      <diagonal/>
    </border>
    <border>
      <left/>
      <right style="thin">
        <color rgb="FFD6DCE4"/>
      </right>
      <top style="thin">
        <color rgb="FFD6DCE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3" borderId="0" xfId="0" applyFont="1" applyFill="1" applyAlignment="1">
      <alignment horizontal="center" vertical="center"/>
    </xf>
    <xf numFmtId="0" fontId="6" fillId="3" borderId="0" xfId="0" applyFont="1" applyFill="1"/>
    <xf numFmtId="166" fontId="4" fillId="0" borderId="0" xfId="0" applyNumberFormat="1" applyFont="1"/>
    <xf numFmtId="0" fontId="4" fillId="0" borderId="0" xfId="0" applyFont="1"/>
    <xf numFmtId="4" fontId="4" fillId="0" borderId="0" xfId="0" applyNumberFormat="1" applyFont="1"/>
    <xf numFmtId="4" fontId="0" fillId="0" borderId="0" xfId="0" applyNumberFormat="1"/>
    <xf numFmtId="0" fontId="7" fillId="0" borderId="0" xfId="0" applyFont="1"/>
    <xf numFmtId="0" fontId="9" fillId="0" borderId="0" xfId="0" applyFont="1"/>
    <xf numFmtId="0" fontId="9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9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165" fontId="0" fillId="0" borderId="0" xfId="0" applyNumberFormat="1"/>
    <xf numFmtId="0" fontId="0" fillId="4" borderId="0" xfId="0" applyFill="1"/>
    <xf numFmtId="0" fontId="5" fillId="4" borderId="0" xfId="0" applyFont="1" applyFill="1"/>
    <xf numFmtId="0" fontId="0" fillId="5" borderId="0" xfId="0" applyFill="1" applyAlignment="1">
      <alignment vertical="center"/>
    </xf>
    <xf numFmtId="0" fontId="10" fillId="5" borderId="0" xfId="0" applyFont="1" applyFill="1" applyAlignment="1">
      <alignment vertical="center"/>
    </xf>
    <xf numFmtId="0" fontId="17" fillId="4" borderId="15" xfId="0" applyFont="1" applyFill="1" applyBorder="1" applyAlignment="1">
      <alignment vertical="center" indent="1"/>
    </xf>
    <xf numFmtId="0" fontId="17" fillId="4" borderId="0" xfId="0" applyFont="1" applyFill="1" applyAlignment="1">
      <alignment vertical="center" indent="1"/>
    </xf>
    <xf numFmtId="0" fontId="18" fillId="4" borderId="1" xfId="0" applyFont="1" applyFill="1" applyBorder="1" applyAlignment="1">
      <alignment vertical="center" wrapText="1" indent="1"/>
    </xf>
    <xf numFmtId="0" fontId="18" fillId="4" borderId="0" xfId="0" applyFont="1" applyFill="1" applyAlignment="1">
      <alignment vertical="center" wrapText="1" indent="1"/>
    </xf>
    <xf numFmtId="0" fontId="18" fillId="4" borderId="2" xfId="0" applyFont="1" applyFill="1" applyBorder="1" applyAlignment="1">
      <alignment vertical="center" wrapText="1" indent="1"/>
    </xf>
    <xf numFmtId="0" fontId="18" fillId="4" borderId="3" xfId="0" applyFont="1" applyFill="1" applyBorder="1" applyAlignment="1">
      <alignment vertical="center" wrapText="1" indent="1"/>
    </xf>
    <xf numFmtId="0" fontId="18" fillId="4" borderId="4" xfId="0" applyFont="1" applyFill="1" applyBorder="1" applyAlignment="1">
      <alignment vertical="center" wrapText="1" indent="1"/>
    </xf>
    <xf numFmtId="0" fontId="18" fillId="4" borderId="5" xfId="0" applyFont="1" applyFill="1" applyBorder="1" applyAlignment="1">
      <alignment vertical="center" wrapText="1" indent="1"/>
    </xf>
    <xf numFmtId="0" fontId="4" fillId="4" borderId="0" xfId="0" applyFont="1" applyFill="1" applyAlignment="1">
      <alignment vertical="top" wrapText="1"/>
    </xf>
    <xf numFmtId="0" fontId="16" fillId="4" borderId="3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5" xfId="0" applyFont="1" applyFill="1" applyBorder="1" applyAlignment="1">
      <alignment horizontal="center"/>
    </xf>
    <xf numFmtId="0" fontId="17" fillId="4" borderId="15" xfId="0" applyFont="1" applyFill="1" applyBorder="1" applyAlignment="1">
      <alignment vertical="center" indent="1"/>
    </xf>
    <xf numFmtId="0" fontId="17" fillId="4" borderId="0" xfId="0" applyFont="1" applyFill="1" applyAlignment="1">
      <alignment vertical="center" indent="1"/>
    </xf>
    <xf numFmtId="0" fontId="18" fillId="4" borderId="16" xfId="0" applyFont="1" applyFill="1" applyBorder="1" applyAlignment="1">
      <alignment vertical="center" wrapText="1" indent="1"/>
    </xf>
    <xf numFmtId="0" fontId="18" fillId="4" borderId="17" xfId="0" applyFont="1" applyFill="1" applyBorder="1" applyAlignment="1">
      <alignment vertical="center" wrapText="1" indent="1"/>
    </xf>
    <xf numFmtId="0" fontId="18" fillId="4" borderId="18" xfId="0" applyFont="1" applyFill="1" applyBorder="1" applyAlignment="1">
      <alignment vertical="center" wrapText="1" indent="1"/>
    </xf>
    <xf numFmtId="0" fontId="11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2" fillId="4" borderId="6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12" fillId="4" borderId="14" xfId="0" applyFont="1" applyFill="1" applyBorder="1" applyAlignment="1">
      <alignment horizontal="center"/>
    </xf>
    <xf numFmtId="164" fontId="13" fillId="4" borderId="1" xfId="0" applyNumberFormat="1" applyFont="1" applyFill="1" applyBorder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Border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15" fillId="4" borderId="1" xfId="0" applyNumberFormat="1" applyFont="1" applyFill="1" applyBorder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16">
    <dxf>
      <font>
        <b/>
        <sz val="22"/>
        <color rgb="FFC00000"/>
        <name val="Arial"/>
        <charset val="1"/>
      </font>
      <fill>
        <patternFill>
          <bgColor rgb="FFFCE4E4"/>
        </patternFill>
      </fill>
    </dxf>
    <dxf>
      <font>
        <b/>
        <sz val="22"/>
        <color rgb="FF2E7D32"/>
        <name val="Arial"/>
        <charset val="1"/>
      </font>
      <fill>
        <patternFill>
          <bgColor rgb="FFE2F0D9"/>
        </patternFill>
      </fill>
    </dxf>
    <dxf>
      <font>
        <b/>
        <sz val="22"/>
        <color rgb="FFC00000"/>
        <name val="Arial"/>
        <charset val="1"/>
      </font>
      <fill>
        <patternFill>
          <bgColor rgb="FFFCE4E4"/>
        </patternFill>
      </fill>
    </dxf>
    <dxf>
      <font>
        <b/>
        <sz val="22"/>
        <color rgb="FF2E7D32"/>
        <name val="Arial"/>
        <charset val="1"/>
      </font>
      <fill>
        <patternFill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6" formatCode="dd/mm/yyyy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3B3B3"/>
      <rgbColor rgb="FF808080"/>
      <rgbColor rgb="FF9999FF"/>
      <rgbColor rgb="FF993366"/>
      <rgbColor rgb="FFF5F6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7D32"/>
      <rgbColor rgb="FF003300"/>
      <rgbColor rgb="FF333300"/>
      <rgbColor rgb="FF993300"/>
      <rgbColor rgb="FF993366"/>
      <rgbColor rgb="FF1F4E78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Maquillaje</c:v>
          </c:tx>
          <c:spPr>
            <a:ln w="28440">
              <a:noFill/>
            </a:ln>
          </c:spPr>
          <c:marker>
            <c:symbol val="circle"/>
            <c:size val="6"/>
            <c: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Datos_Base!$M$2:$M$396</c:f>
              <c:numCache>
                <c:formatCode>#,##0.00</c:formatCode>
                <c:ptCount val="395"/>
                <c:pt idx="0" formatCode="General">
                  <c:v>#N/A</c:v>
                </c:pt>
                <c:pt idx="1">
                  <c:v>808.39</c:v>
                </c:pt>
                <c:pt idx="2" formatCode="General">
                  <c:v>#N/A</c:v>
                </c:pt>
                <c:pt idx="3" formatCode="General">
                  <c:v>#N/A</c:v>
                </c:pt>
                <c:pt idx="4" formatCode="General">
                  <c:v>#N/A</c:v>
                </c:pt>
                <c:pt idx="5">
                  <c:v>712.14</c:v>
                </c:pt>
                <c:pt idx="6">
                  <c:v>600.22</c:v>
                </c:pt>
                <c:pt idx="7" formatCode="General">
                  <c:v>#N/A</c:v>
                </c:pt>
                <c:pt idx="8">
                  <c:v>738.4</c:v>
                </c:pt>
                <c:pt idx="9" formatCode="General">
                  <c:v>#N/A</c:v>
                </c:pt>
                <c:pt idx="10" formatCode="General">
                  <c:v>#N/A</c:v>
                </c:pt>
                <c:pt idx="11">
                  <c:v>838.4</c:v>
                </c:pt>
                <c:pt idx="12" formatCode="General">
                  <c:v>#N/A</c:v>
                </c:pt>
                <c:pt idx="13" formatCode="General">
                  <c:v>#N/A</c:v>
                </c:pt>
                <c:pt idx="14" formatCode="General">
                  <c:v>#N/A</c:v>
                </c:pt>
                <c:pt idx="15" formatCode="General">
                  <c:v>#N/A</c:v>
                </c:pt>
                <c:pt idx="16">
                  <c:v>732.69</c:v>
                </c:pt>
                <c:pt idx="17">
                  <c:v>733.09</c:v>
                </c:pt>
                <c:pt idx="18" formatCode="General">
                  <c:v>#N/A</c:v>
                </c:pt>
                <c:pt idx="19" formatCode="General">
                  <c:v>#N/A</c:v>
                </c:pt>
                <c:pt idx="20">
                  <c:v>616.27</c:v>
                </c:pt>
                <c:pt idx="21" formatCode="General">
                  <c:v>#N/A</c:v>
                </c:pt>
                <c:pt idx="22" formatCode="General">
                  <c:v>#N/A</c:v>
                </c:pt>
                <c:pt idx="23" formatCode="General">
                  <c:v>#N/A</c:v>
                </c:pt>
                <c:pt idx="24" formatCode="General">
                  <c:v>#N/A</c:v>
                </c:pt>
                <c:pt idx="25" formatCode="General">
                  <c:v>#N/A</c:v>
                </c:pt>
                <c:pt idx="26" formatCode="General">
                  <c:v>#N/A</c:v>
                </c:pt>
                <c:pt idx="27" formatCode="General">
                  <c:v>#N/A</c:v>
                </c:pt>
                <c:pt idx="28" formatCode="General">
                  <c:v>#N/A</c:v>
                </c:pt>
                <c:pt idx="29" formatCode="General">
                  <c:v>#N/A</c:v>
                </c:pt>
                <c:pt idx="30" formatCode="General">
                  <c:v>#N/A</c:v>
                </c:pt>
                <c:pt idx="31">
                  <c:v>666.86</c:v>
                </c:pt>
                <c:pt idx="32" formatCode="General">
                  <c:v>#N/A</c:v>
                </c:pt>
                <c:pt idx="33" formatCode="General">
                  <c:v>#N/A</c:v>
                </c:pt>
                <c:pt idx="34" formatCode="General">
                  <c:v>#N/A</c:v>
                </c:pt>
                <c:pt idx="35" formatCode="General">
                  <c:v>#N/A</c:v>
                </c:pt>
                <c:pt idx="36" formatCode="General">
                  <c:v>#N/A</c:v>
                </c:pt>
                <c:pt idx="37" formatCode="General">
                  <c:v>#N/A</c:v>
                </c:pt>
                <c:pt idx="38" formatCode="General">
                  <c:v>#N/A</c:v>
                </c:pt>
                <c:pt idx="39" formatCode="General">
                  <c:v>#N/A</c:v>
                </c:pt>
                <c:pt idx="40">
                  <c:v>593.45000000000005</c:v>
                </c:pt>
                <c:pt idx="41">
                  <c:v>604.36</c:v>
                </c:pt>
                <c:pt idx="42" formatCode="General">
                  <c:v>#N/A</c:v>
                </c:pt>
                <c:pt idx="43" formatCode="General">
                  <c:v>#N/A</c:v>
                </c:pt>
                <c:pt idx="44" formatCode="General">
                  <c:v>#N/A</c:v>
                </c:pt>
                <c:pt idx="45" formatCode="General">
                  <c:v>#N/A</c:v>
                </c:pt>
                <c:pt idx="46" formatCode="General">
                  <c:v>#N/A</c:v>
                </c:pt>
                <c:pt idx="47" formatCode="General">
                  <c:v>#N/A</c:v>
                </c:pt>
                <c:pt idx="48">
                  <c:v>705.66</c:v>
                </c:pt>
                <c:pt idx="49">
                  <c:v>849.19</c:v>
                </c:pt>
                <c:pt idx="50" formatCode="General">
                  <c:v>#N/A</c:v>
                </c:pt>
                <c:pt idx="51" formatCode="General">
                  <c:v>#N/A</c:v>
                </c:pt>
                <c:pt idx="52" formatCode="General">
                  <c:v>#N/A</c:v>
                </c:pt>
                <c:pt idx="53" formatCode="General">
                  <c:v>#N/A</c:v>
                </c:pt>
                <c:pt idx="54" formatCode="General">
                  <c:v>#N/A</c:v>
                </c:pt>
                <c:pt idx="55" formatCode="General">
                  <c:v>#N/A</c:v>
                </c:pt>
                <c:pt idx="56">
                  <c:v>756.83</c:v>
                </c:pt>
                <c:pt idx="57">
                  <c:v>655.4</c:v>
                </c:pt>
                <c:pt idx="58">
                  <c:v>689.43</c:v>
                </c:pt>
                <c:pt idx="59" formatCode="General">
                  <c:v>#N/A</c:v>
                </c:pt>
                <c:pt idx="60">
                  <c:v>850.81</c:v>
                </c:pt>
                <c:pt idx="61" formatCode="General">
                  <c:v>#N/A</c:v>
                </c:pt>
                <c:pt idx="62" formatCode="General">
                  <c:v>#N/A</c:v>
                </c:pt>
                <c:pt idx="63">
                  <c:v>853.65</c:v>
                </c:pt>
                <c:pt idx="64" formatCode="General">
                  <c:v>#N/A</c:v>
                </c:pt>
                <c:pt idx="65">
                  <c:v>781.14</c:v>
                </c:pt>
                <c:pt idx="66" formatCode="General">
                  <c:v>#N/A</c:v>
                </c:pt>
                <c:pt idx="67">
                  <c:v>665.59</c:v>
                </c:pt>
                <c:pt idx="68">
                  <c:v>609.07000000000005</c:v>
                </c:pt>
                <c:pt idx="69" formatCode="General">
                  <c:v>#N/A</c:v>
                </c:pt>
                <c:pt idx="70" formatCode="General">
                  <c:v>#N/A</c:v>
                </c:pt>
                <c:pt idx="71">
                  <c:v>758.9</c:v>
                </c:pt>
                <c:pt idx="72" formatCode="General">
                  <c:v>#N/A</c:v>
                </c:pt>
                <c:pt idx="73">
                  <c:v>596.22</c:v>
                </c:pt>
                <c:pt idx="74" formatCode="General">
                  <c:v>#N/A</c:v>
                </c:pt>
                <c:pt idx="75">
                  <c:v>635.67999999999995</c:v>
                </c:pt>
                <c:pt idx="76" formatCode="General">
                  <c:v>#N/A</c:v>
                </c:pt>
                <c:pt idx="77" formatCode="General">
                  <c:v>#N/A</c:v>
                </c:pt>
                <c:pt idx="78" formatCode="General">
                  <c:v>#N/A</c:v>
                </c:pt>
                <c:pt idx="79" formatCode="General">
                  <c:v>#N/A</c:v>
                </c:pt>
                <c:pt idx="80" formatCode="General">
                  <c:v>#N/A</c:v>
                </c:pt>
                <c:pt idx="81" formatCode="General">
                  <c:v>#N/A</c:v>
                </c:pt>
                <c:pt idx="82" formatCode="General">
                  <c:v>#N/A</c:v>
                </c:pt>
                <c:pt idx="83" formatCode="General">
                  <c:v>#N/A</c:v>
                </c:pt>
                <c:pt idx="84">
                  <c:v>631.15</c:v>
                </c:pt>
                <c:pt idx="85" formatCode="General">
                  <c:v>#N/A</c:v>
                </c:pt>
                <c:pt idx="86">
                  <c:v>701.05</c:v>
                </c:pt>
                <c:pt idx="87">
                  <c:v>609.14</c:v>
                </c:pt>
                <c:pt idx="88" formatCode="General">
                  <c:v>#N/A</c:v>
                </c:pt>
                <c:pt idx="89">
                  <c:v>703.59</c:v>
                </c:pt>
                <c:pt idx="90" formatCode="General">
                  <c:v>#N/A</c:v>
                </c:pt>
                <c:pt idx="91" formatCode="General">
                  <c:v>#N/A</c:v>
                </c:pt>
                <c:pt idx="92" formatCode="General">
                  <c:v>#N/A</c:v>
                </c:pt>
                <c:pt idx="93" formatCode="General">
                  <c:v>#N/A</c:v>
                </c:pt>
                <c:pt idx="94" formatCode="General">
                  <c:v>#N/A</c:v>
                </c:pt>
                <c:pt idx="95" formatCode="General">
                  <c:v>#N/A</c:v>
                </c:pt>
                <c:pt idx="96">
                  <c:v>717.58</c:v>
                </c:pt>
                <c:pt idx="97" formatCode="General">
                  <c:v>#N/A</c:v>
                </c:pt>
                <c:pt idx="98">
                  <c:v>630.08000000000004</c:v>
                </c:pt>
                <c:pt idx="99">
                  <c:v>682.57</c:v>
                </c:pt>
                <c:pt idx="100" formatCode="General">
                  <c:v>#N/A</c:v>
                </c:pt>
                <c:pt idx="101" formatCode="General">
                  <c:v>#N/A</c:v>
                </c:pt>
                <c:pt idx="102" formatCode="General">
                  <c:v>#N/A</c:v>
                </c:pt>
                <c:pt idx="103" formatCode="General">
                  <c:v>#N/A</c:v>
                </c:pt>
                <c:pt idx="104" formatCode="General">
                  <c:v>#N/A</c:v>
                </c:pt>
                <c:pt idx="105">
                  <c:v>725.14</c:v>
                </c:pt>
                <c:pt idx="106" formatCode="General">
                  <c:v>#N/A</c:v>
                </c:pt>
                <c:pt idx="107">
                  <c:v>640.9</c:v>
                </c:pt>
                <c:pt idx="108">
                  <c:v>800.01</c:v>
                </c:pt>
                <c:pt idx="109" formatCode="General">
                  <c:v>#N/A</c:v>
                </c:pt>
                <c:pt idx="110">
                  <c:v>678.11</c:v>
                </c:pt>
                <c:pt idx="111">
                  <c:v>652.82000000000005</c:v>
                </c:pt>
                <c:pt idx="112">
                  <c:v>593</c:v>
                </c:pt>
                <c:pt idx="113" formatCode="General">
                  <c:v>#N/A</c:v>
                </c:pt>
                <c:pt idx="114" formatCode="General">
                  <c:v>#N/A</c:v>
                </c:pt>
                <c:pt idx="115" formatCode="General">
                  <c:v>#N/A</c:v>
                </c:pt>
                <c:pt idx="116" formatCode="General">
                  <c:v>#N/A</c:v>
                </c:pt>
                <c:pt idx="117" formatCode="General">
                  <c:v>#N/A</c:v>
                </c:pt>
                <c:pt idx="118" formatCode="General">
                  <c:v>#N/A</c:v>
                </c:pt>
                <c:pt idx="119" formatCode="General">
                  <c:v>#N/A</c:v>
                </c:pt>
                <c:pt idx="120">
                  <c:v>676.05</c:v>
                </c:pt>
                <c:pt idx="121" formatCode="General">
                  <c:v>#N/A</c:v>
                </c:pt>
                <c:pt idx="122" formatCode="General">
                  <c:v>#N/A</c:v>
                </c:pt>
                <c:pt idx="123" formatCode="General">
                  <c:v>#N/A</c:v>
                </c:pt>
                <c:pt idx="124" formatCode="General">
                  <c:v>#N/A</c:v>
                </c:pt>
                <c:pt idx="125" formatCode="General">
                  <c:v>#N/A</c:v>
                </c:pt>
                <c:pt idx="126" formatCode="General">
                  <c:v>#N/A</c:v>
                </c:pt>
                <c:pt idx="127">
                  <c:v>643.6</c:v>
                </c:pt>
                <c:pt idx="128" formatCode="General">
                  <c:v>#N/A</c:v>
                </c:pt>
                <c:pt idx="129">
                  <c:v>827.09</c:v>
                </c:pt>
                <c:pt idx="130" formatCode="General">
                  <c:v>#N/A</c:v>
                </c:pt>
                <c:pt idx="131" formatCode="General">
                  <c:v>#N/A</c:v>
                </c:pt>
                <c:pt idx="132">
                  <c:v>700.78</c:v>
                </c:pt>
                <c:pt idx="133" formatCode="General">
                  <c:v>#N/A</c:v>
                </c:pt>
                <c:pt idx="134" formatCode="General">
                  <c:v>#N/A</c:v>
                </c:pt>
                <c:pt idx="135" formatCode="General">
                  <c:v>#N/A</c:v>
                </c:pt>
                <c:pt idx="136" formatCode="General">
                  <c:v>#N/A</c:v>
                </c:pt>
                <c:pt idx="137">
                  <c:v>648.22</c:v>
                </c:pt>
                <c:pt idx="138">
                  <c:v>790.06</c:v>
                </c:pt>
                <c:pt idx="139">
                  <c:v>848.54</c:v>
                </c:pt>
                <c:pt idx="140" formatCode="General">
                  <c:v>#N/A</c:v>
                </c:pt>
                <c:pt idx="141" formatCode="General">
                  <c:v>#N/A</c:v>
                </c:pt>
                <c:pt idx="142" formatCode="General">
                  <c:v>#N/A</c:v>
                </c:pt>
                <c:pt idx="143" formatCode="General">
                  <c:v>#N/A</c:v>
                </c:pt>
                <c:pt idx="144" formatCode="General">
                  <c:v>#N/A</c:v>
                </c:pt>
                <c:pt idx="145" formatCode="General">
                  <c:v>#N/A</c:v>
                </c:pt>
                <c:pt idx="146" formatCode="General">
                  <c:v>#N/A</c:v>
                </c:pt>
                <c:pt idx="147" formatCode="General">
                  <c:v>#N/A</c:v>
                </c:pt>
                <c:pt idx="148" formatCode="General">
                  <c:v>#N/A</c:v>
                </c:pt>
                <c:pt idx="149" formatCode="General">
                  <c:v>#N/A</c:v>
                </c:pt>
                <c:pt idx="150" formatCode="General">
                  <c:v>#N/A</c:v>
                </c:pt>
                <c:pt idx="151">
                  <c:v>721.2</c:v>
                </c:pt>
                <c:pt idx="152" formatCode="General">
                  <c:v>#N/A</c:v>
                </c:pt>
                <c:pt idx="153">
                  <c:v>694.01</c:v>
                </c:pt>
                <c:pt idx="154" formatCode="General">
                  <c:v>#N/A</c:v>
                </c:pt>
                <c:pt idx="155">
                  <c:v>652.64</c:v>
                </c:pt>
                <c:pt idx="156" formatCode="General">
                  <c:v>#N/A</c:v>
                </c:pt>
                <c:pt idx="157" formatCode="General">
                  <c:v>#N/A</c:v>
                </c:pt>
                <c:pt idx="158" formatCode="General">
                  <c:v>#N/A</c:v>
                </c:pt>
                <c:pt idx="159" formatCode="General">
                  <c:v>#N/A</c:v>
                </c:pt>
                <c:pt idx="160">
                  <c:v>793.39</c:v>
                </c:pt>
                <c:pt idx="161" formatCode="General">
                  <c:v>#N/A</c:v>
                </c:pt>
                <c:pt idx="162" formatCode="General">
                  <c:v>#N/A</c:v>
                </c:pt>
                <c:pt idx="163" formatCode="General">
                  <c:v>#N/A</c:v>
                </c:pt>
                <c:pt idx="164" formatCode="General">
                  <c:v>#N/A</c:v>
                </c:pt>
                <c:pt idx="165" formatCode="General">
                  <c:v>#N/A</c:v>
                </c:pt>
                <c:pt idx="166" formatCode="General">
                  <c:v>#N/A</c:v>
                </c:pt>
                <c:pt idx="167">
                  <c:v>660.25</c:v>
                </c:pt>
                <c:pt idx="168" formatCode="General">
                  <c:v>#N/A</c:v>
                </c:pt>
                <c:pt idx="169" formatCode="General">
                  <c:v>#N/A</c:v>
                </c:pt>
                <c:pt idx="170" formatCode="General">
                  <c:v>#N/A</c:v>
                </c:pt>
                <c:pt idx="171" formatCode="General">
                  <c:v>#N/A</c:v>
                </c:pt>
                <c:pt idx="172">
                  <c:v>788.4</c:v>
                </c:pt>
                <c:pt idx="173" formatCode="General">
                  <c:v>#N/A</c:v>
                </c:pt>
                <c:pt idx="174" formatCode="General">
                  <c:v>#N/A</c:v>
                </c:pt>
                <c:pt idx="175" formatCode="General">
                  <c:v>#N/A</c:v>
                </c:pt>
                <c:pt idx="176">
                  <c:v>625.4</c:v>
                </c:pt>
                <c:pt idx="177" formatCode="General">
                  <c:v>#N/A</c:v>
                </c:pt>
                <c:pt idx="178" formatCode="General">
                  <c:v>#N/A</c:v>
                </c:pt>
                <c:pt idx="179" formatCode="General">
                  <c:v>#N/A</c:v>
                </c:pt>
                <c:pt idx="180" formatCode="General">
                  <c:v>#N/A</c:v>
                </c:pt>
                <c:pt idx="181">
                  <c:v>629.94000000000005</c:v>
                </c:pt>
                <c:pt idx="182" formatCode="General">
                  <c:v>#N/A</c:v>
                </c:pt>
                <c:pt idx="183" formatCode="General">
                  <c:v>#N/A</c:v>
                </c:pt>
                <c:pt idx="184" formatCode="General">
                  <c:v>#N/A</c:v>
                </c:pt>
                <c:pt idx="185">
                  <c:v>706.66</c:v>
                </c:pt>
                <c:pt idx="186" formatCode="General">
                  <c:v>#N/A</c:v>
                </c:pt>
                <c:pt idx="187" formatCode="General">
                  <c:v>#N/A</c:v>
                </c:pt>
                <c:pt idx="188" formatCode="General">
                  <c:v>#N/A</c:v>
                </c:pt>
                <c:pt idx="189">
                  <c:v>822.81</c:v>
                </c:pt>
                <c:pt idx="190" formatCode="General">
                  <c:v>#N/A</c:v>
                </c:pt>
                <c:pt idx="191">
                  <c:v>704.74</c:v>
                </c:pt>
                <c:pt idx="192">
                  <c:v>723.57</c:v>
                </c:pt>
                <c:pt idx="193">
                  <c:v>693.36</c:v>
                </c:pt>
                <c:pt idx="194">
                  <c:v>768.83</c:v>
                </c:pt>
                <c:pt idx="195" formatCode="General">
                  <c:v>#N/A</c:v>
                </c:pt>
                <c:pt idx="196" formatCode="General">
                  <c:v>#N/A</c:v>
                </c:pt>
                <c:pt idx="197" formatCode="General">
                  <c:v>#N/A</c:v>
                </c:pt>
                <c:pt idx="198" formatCode="General">
                  <c:v>#N/A</c:v>
                </c:pt>
                <c:pt idx="199" formatCode="General">
                  <c:v>#N/A</c:v>
                </c:pt>
                <c:pt idx="200" formatCode="General">
                  <c:v>#N/A</c:v>
                </c:pt>
                <c:pt idx="201" formatCode="General">
                  <c:v>#N/A</c:v>
                </c:pt>
                <c:pt idx="202" formatCode="General">
                  <c:v>#N/A</c:v>
                </c:pt>
                <c:pt idx="203">
                  <c:v>826.91</c:v>
                </c:pt>
                <c:pt idx="204" formatCode="General">
                  <c:v>#N/A</c:v>
                </c:pt>
                <c:pt idx="205" formatCode="General">
                  <c:v>#N/A</c:v>
                </c:pt>
                <c:pt idx="206">
                  <c:v>664.13</c:v>
                </c:pt>
                <c:pt idx="207" formatCode="General">
                  <c:v>#N/A</c:v>
                </c:pt>
                <c:pt idx="208" formatCode="General">
                  <c:v>#N/A</c:v>
                </c:pt>
                <c:pt idx="209">
                  <c:v>699.88</c:v>
                </c:pt>
                <c:pt idx="210">
                  <c:v>636.49</c:v>
                </c:pt>
                <c:pt idx="211">
                  <c:v>793.25</c:v>
                </c:pt>
                <c:pt idx="212" formatCode="General">
                  <c:v>#N/A</c:v>
                </c:pt>
                <c:pt idx="213" formatCode="General">
                  <c:v>#N/A</c:v>
                </c:pt>
                <c:pt idx="214">
                  <c:v>698.81</c:v>
                </c:pt>
                <c:pt idx="215" formatCode="General">
                  <c:v>#N/A</c:v>
                </c:pt>
                <c:pt idx="216" formatCode="General">
                  <c:v>#N/A</c:v>
                </c:pt>
                <c:pt idx="217" formatCode="General">
                  <c:v>#N/A</c:v>
                </c:pt>
                <c:pt idx="218" formatCode="General">
                  <c:v>#N/A</c:v>
                </c:pt>
                <c:pt idx="219" formatCode="General">
                  <c:v>#N/A</c:v>
                </c:pt>
                <c:pt idx="220">
                  <c:v>788.62</c:v>
                </c:pt>
                <c:pt idx="221" formatCode="General">
                  <c:v>#N/A</c:v>
                </c:pt>
                <c:pt idx="222">
                  <c:v>637.24</c:v>
                </c:pt>
                <c:pt idx="223" formatCode="General">
                  <c:v>#N/A</c:v>
                </c:pt>
                <c:pt idx="224">
                  <c:v>631.85</c:v>
                </c:pt>
                <c:pt idx="225" formatCode="General">
                  <c:v>#N/A</c:v>
                </c:pt>
                <c:pt idx="226" formatCode="General">
                  <c:v>#N/A</c:v>
                </c:pt>
                <c:pt idx="227">
                  <c:v>600.66</c:v>
                </c:pt>
                <c:pt idx="228" formatCode="General">
                  <c:v>#N/A</c:v>
                </c:pt>
                <c:pt idx="229" formatCode="General">
                  <c:v>#N/A</c:v>
                </c:pt>
                <c:pt idx="230" formatCode="General">
                  <c:v>#N/A</c:v>
                </c:pt>
                <c:pt idx="231" formatCode="General">
                  <c:v>#N/A</c:v>
                </c:pt>
                <c:pt idx="232">
                  <c:v>707.25</c:v>
                </c:pt>
                <c:pt idx="233">
                  <c:v>646.17999999999995</c:v>
                </c:pt>
                <c:pt idx="234" formatCode="General">
                  <c:v>#N/A</c:v>
                </c:pt>
                <c:pt idx="235" formatCode="General">
                  <c:v>#N/A</c:v>
                </c:pt>
                <c:pt idx="236" formatCode="General">
                  <c:v>#N/A</c:v>
                </c:pt>
                <c:pt idx="237" formatCode="General">
                  <c:v>#N/A</c:v>
                </c:pt>
                <c:pt idx="238" formatCode="General">
                  <c:v>#N/A</c:v>
                </c:pt>
                <c:pt idx="239" formatCode="General">
                  <c:v>#N/A</c:v>
                </c:pt>
                <c:pt idx="240" formatCode="General">
                  <c:v>#N/A</c:v>
                </c:pt>
                <c:pt idx="241" formatCode="General">
                  <c:v>#N/A</c:v>
                </c:pt>
                <c:pt idx="242" formatCode="General">
                  <c:v>#N/A</c:v>
                </c:pt>
                <c:pt idx="243" formatCode="General">
                  <c:v>#N/A</c:v>
                </c:pt>
                <c:pt idx="244">
                  <c:v>735.64</c:v>
                </c:pt>
                <c:pt idx="245" formatCode="General">
                  <c:v>#N/A</c:v>
                </c:pt>
                <c:pt idx="246" formatCode="General">
                  <c:v>#N/A</c:v>
                </c:pt>
                <c:pt idx="247" formatCode="General">
                  <c:v>#N/A</c:v>
                </c:pt>
                <c:pt idx="248" formatCode="General">
                  <c:v>#N/A</c:v>
                </c:pt>
                <c:pt idx="249" formatCode="General">
                  <c:v>#N/A</c:v>
                </c:pt>
                <c:pt idx="250" formatCode="General">
                  <c:v>#N/A</c:v>
                </c:pt>
                <c:pt idx="251">
                  <c:v>693.7</c:v>
                </c:pt>
                <c:pt idx="252" formatCode="General">
                  <c:v>#N/A</c:v>
                </c:pt>
                <c:pt idx="253" formatCode="General">
                  <c:v>#N/A</c:v>
                </c:pt>
                <c:pt idx="254">
                  <c:v>819.06</c:v>
                </c:pt>
                <c:pt idx="255" formatCode="General">
                  <c:v>#N/A</c:v>
                </c:pt>
                <c:pt idx="256" formatCode="General">
                  <c:v>#N/A</c:v>
                </c:pt>
                <c:pt idx="257" formatCode="General">
                  <c:v>#N/A</c:v>
                </c:pt>
                <c:pt idx="258" formatCode="General">
                  <c:v>#N/A</c:v>
                </c:pt>
                <c:pt idx="259" formatCode="General">
                  <c:v>#N/A</c:v>
                </c:pt>
                <c:pt idx="260">
                  <c:v>659.15</c:v>
                </c:pt>
                <c:pt idx="261">
                  <c:v>715.15</c:v>
                </c:pt>
                <c:pt idx="262">
                  <c:v>708.43</c:v>
                </c:pt>
                <c:pt idx="263" formatCode="General">
                  <c:v>#N/A</c:v>
                </c:pt>
                <c:pt idx="264" formatCode="General">
                  <c:v>#N/A</c:v>
                </c:pt>
                <c:pt idx="265" formatCode="General">
                  <c:v>#N/A</c:v>
                </c:pt>
                <c:pt idx="266">
                  <c:v>738.21</c:v>
                </c:pt>
                <c:pt idx="267" formatCode="General">
                  <c:v>#N/A</c:v>
                </c:pt>
                <c:pt idx="268">
                  <c:v>708.63</c:v>
                </c:pt>
                <c:pt idx="269" formatCode="General">
                  <c:v>#N/A</c:v>
                </c:pt>
                <c:pt idx="270" formatCode="General">
                  <c:v>#N/A</c:v>
                </c:pt>
                <c:pt idx="271" formatCode="General">
                  <c:v>#N/A</c:v>
                </c:pt>
                <c:pt idx="272" formatCode="General">
                  <c:v>#N/A</c:v>
                </c:pt>
                <c:pt idx="273" formatCode="General">
                  <c:v>#N/A</c:v>
                </c:pt>
                <c:pt idx="274" formatCode="General">
                  <c:v>#N/A</c:v>
                </c:pt>
                <c:pt idx="275">
                  <c:v>708.89</c:v>
                </c:pt>
                <c:pt idx="276" formatCode="General">
                  <c:v>#N/A</c:v>
                </c:pt>
                <c:pt idx="277" formatCode="General">
                  <c:v>#N/A</c:v>
                </c:pt>
                <c:pt idx="278" formatCode="General">
                  <c:v>#N/A</c:v>
                </c:pt>
                <c:pt idx="279" formatCode="General">
                  <c:v>#N/A</c:v>
                </c:pt>
                <c:pt idx="280" formatCode="General">
                  <c:v>#N/A</c:v>
                </c:pt>
                <c:pt idx="281">
                  <c:v>708.45</c:v>
                </c:pt>
                <c:pt idx="282" formatCode="General">
                  <c:v>#N/A</c:v>
                </c:pt>
                <c:pt idx="283" formatCode="General">
                  <c:v>#N/A</c:v>
                </c:pt>
                <c:pt idx="284" formatCode="General">
                  <c:v>#N/A</c:v>
                </c:pt>
                <c:pt idx="285">
                  <c:v>599.37</c:v>
                </c:pt>
                <c:pt idx="286" formatCode="General">
                  <c:v>#N/A</c:v>
                </c:pt>
                <c:pt idx="287">
                  <c:v>793.85</c:v>
                </c:pt>
                <c:pt idx="288" formatCode="General">
                  <c:v>#N/A</c:v>
                </c:pt>
                <c:pt idx="289" formatCode="General">
                  <c:v>#N/A</c:v>
                </c:pt>
                <c:pt idx="290">
                  <c:v>586.69000000000005</c:v>
                </c:pt>
                <c:pt idx="291" formatCode="General">
                  <c:v>#N/A</c:v>
                </c:pt>
                <c:pt idx="292" formatCode="General">
                  <c:v>#N/A</c:v>
                </c:pt>
                <c:pt idx="293" formatCode="General">
                  <c:v>#N/A</c:v>
                </c:pt>
                <c:pt idx="294" formatCode="General">
                  <c:v>#N/A</c:v>
                </c:pt>
                <c:pt idx="295" formatCode="General">
                  <c:v>#N/A</c:v>
                </c:pt>
                <c:pt idx="296">
                  <c:v>774.78</c:v>
                </c:pt>
                <c:pt idx="297">
                  <c:v>683.43</c:v>
                </c:pt>
                <c:pt idx="298" formatCode="General">
                  <c:v>#N/A</c:v>
                </c:pt>
                <c:pt idx="299">
                  <c:v>756.99</c:v>
                </c:pt>
                <c:pt idx="300" formatCode="General">
                  <c:v>#N/A</c:v>
                </c:pt>
                <c:pt idx="301" formatCode="General">
                  <c:v>#N/A</c:v>
                </c:pt>
                <c:pt idx="302" formatCode="General">
                  <c:v>#N/A</c:v>
                </c:pt>
                <c:pt idx="303">
                  <c:v>768.3</c:v>
                </c:pt>
                <c:pt idx="304" formatCode="General">
                  <c:v>#N/A</c:v>
                </c:pt>
                <c:pt idx="305" formatCode="General">
                  <c:v>#N/A</c:v>
                </c:pt>
                <c:pt idx="306" formatCode="General">
                  <c:v>#N/A</c:v>
                </c:pt>
                <c:pt idx="307" formatCode="General">
                  <c:v>#N/A</c:v>
                </c:pt>
                <c:pt idx="308">
                  <c:v>734.14</c:v>
                </c:pt>
                <c:pt idx="309">
                  <c:v>605.54</c:v>
                </c:pt>
                <c:pt idx="310" formatCode="General">
                  <c:v>#N/A</c:v>
                </c:pt>
                <c:pt idx="311" formatCode="General">
                  <c:v>#N/A</c:v>
                </c:pt>
                <c:pt idx="312" formatCode="General">
                  <c:v>#N/A</c:v>
                </c:pt>
                <c:pt idx="313" formatCode="General">
                  <c:v>#N/A</c:v>
                </c:pt>
                <c:pt idx="314" formatCode="General">
                  <c:v>#N/A</c:v>
                </c:pt>
                <c:pt idx="315" formatCode="General">
                  <c:v>#N/A</c:v>
                </c:pt>
                <c:pt idx="316" formatCode="General">
                  <c:v>#N/A</c:v>
                </c:pt>
                <c:pt idx="317" formatCode="General">
                  <c:v>#N/A</c:v>
                </c:pt>
                <c:pt idx="318">
                  <c:v>595.66</c:v>
                </c:pt>
                <c:pt idx="319">
                  <c:v>703.97</c:v>
                </c:pt>
                <c:pt idx="320" formatCode="General">
                  <c:v>#N/A</c:v>
                </c:pt>
                <c:pt idx="321">
                  <c:v>616</c:v>
                </c:pt>
                <c:pt idx="322" formatCode="General">
                  <c:v>#N/A</c:v>
                </c:pt>
                <c:pt idx="323" formatCode="General">
                  <c:v>#N/A</c:v>
                </c:pt>
                <c:pt idx="324">
                  <c:v>710.77</c:v>
                </c:pt>
                <c:pt idx="325" formatCode="General">
                  <c:v>#N/A</c:v>
                </c:pt>
                <c:pt idx="326">
                  <c:v>761.59</c:v>
                </c:pt>
                <c:pt idx="327" formatCode="General">
                  <c:v>#N/A</c:v>
                </c:pt>
                <c:pt idx="328" formatCode="General">
                  <c:v>#N/A</c:v>
                </c:pt>
                <c:pt idx="329" formatCode="General">
                  <c:v>#N/A</c:v>
                </c:pt>
                <c:pt idx="330" formatCode="General">
                  <c:v>#N/A</c:v>
                </c:pt>
                <c:pt idx="331">
                  <c:v>732.94</c:v>
                </c:pt>
                <c:pt idx="332">
                  <c:v>596.88</c:v>
                </c:pt>
                <c:pt idx="333">
                  <c:v>635.08000000000004</c:v>
                </c:pt>
                <c:pt idx="334" formatCode="General">
                  <c:v>#N/A</c:v>
                </c:pt>
                <c:pt idx="335" formatCode="General">
                  <c:v>#N/A</c:v>
                </c:pt>
                <c:pt idx="336" formatCode="General">
                  <c:v>#N/A</c:v>
                </c:pt>
                <c:pt idx="337">
                  <c:v>650.88</c:v>
                </c:pt>
                <c:pt idx="338" formatCode="General">
                  <c:v>#N/A</c:v>
                </c:pt>
                <c:pt idx="339">
                  <c:v>783.09</c:v>
                </c:pt>
                <c:pt idx="340">
                  <c:v>796.17</c:v>
                </c:pt>
                <c:pt idx="341" formatCode="General">
                  <c:v>#N/A</c:v>
                </c:pt>
                <c:pt idx="342" formatCode="General">
                  <c:v>#N/A</c:v>
                </c:pt>
                <c:pt idx="343" formatCode="General">
                  <c:v>#N/A</c:v>
                </c:pt>
                <c:pt idx="344" formatCode="General">
                  <c:v>#N/A</c:v>
                </c:pt>
                <c:pt idx="345" formatCode="General">
                  <c:v>#N/A</c:v>
                </c:pt>
                <c:pt idx="346" formatCode="General">
                  <c:v>#N/A</c:v>
                </c:pt>
                <c:pt idx="347" formatCode="General">
                  <c:v>#N/A</c:v>
                </c:pt>
                <c:pt idx="348" formatCode="General">
                  <c:v>#N/A</c:v>
                </c:pt>
                <c:pt idx="349" formatCode="General">
                  <c:v>#N/A</c:v>
                </c:pt>
                <c:pt idx="350" formatCode="General">
                  <c:v>#N/A</c:v>
                </c:pt>
                <c:pt idx="351" formatCode="General">
                  <c:v>#N/A</c:v>
                </c:pt>
                <c:pt idx="352" formatCode="General">
                  <c:v>#N/A</c:v>
                </c:pt>
                <c:pt idx="353" formatCode="General">
                  <c:v>#N/A</c:v>
                </c:pt>
                <c:pt idx="354" formatCode="General">
                  <c:v>#N/A</c:v>
                </c:pt>
                <c:pt idx="355" formatCode="General">
                  <c:v>#N/A</c:v>
                </c:pt>
                <c:pt idx="356" formatCode="General">
                  <c:v>#N/A</c:v>
                </c:pt>
                <c:pt idx="357" formatCode="General">
                  <c:v>#N/A</c:v>
                </c:pt>
                <c:pt idx="358" formatCode="General">
                  <c:v>#N/A</c:v>
                </c:pt>
                <c:pt idx="359" formatCode="General">
                  <c:v>#N/A</c:v>
                </c:pt>
                <c:pt idx="360" formatCode="General">
                  <c:v>#N/A</c:v>
                </c:pt>
                <c:pt idx="361" formatCode="General">
                  <c:v>#N/A</c:v>
                </c:pt>
                <c:pt idx="362" formatCode="General">
                  <c:v>#N/A</c:v>
                </c:pt>
                <c:pt idx="363" formatCode="General">
                  <c:v>#N/A</c:v>
                </c:pt>
                <c:pt idx="364">
                  <c:v>854.18</c:v>
                </c:pt>
                <c:pt idx="365" formatCode="General">
                  <c:v>#N/A</c:v>
                </c:pt>
                <c:pt idx="366" formatCode="General">
                  <c:v>#N/A</c:v>
                </c:pt>
                <c:pt idx="367">
                  <c:v>635.15</c:v>
                </c:pt>
                <c:pt idx="368">
                  <c:v>627.62</c:v>
                </c:pt>
                <c:pt idx="369" formatCode="General">
                  <c:v>#N/A</c:v>
                </c:pt>
                <c:pt idx="370" formatCode="General">
                  <c:v>#N/A</c:v>
                </c:pt>
                <c:pt idx="371" formatCode="General">
                  <c:v>#N/A</c:v>
                </c:pt>
                <c:pt idx="372" formatCode="General">
                  <c:v>#N/A</c:v>
                </c:pt>
                <c:pt idx="373" formatCode="General">
                  <c:v>#N/A</c:v>
                </c:pt>
                <c:pt idx="374" formatCode="General">
                  <c:v>#N/A</c:v>
                </c:pt>
                <c:pt idx="375" formatCode="General">
                  <c:v>#N/A</c:v>
                </c:pt>
                <c:pt idx="376" formatCode="General">
                  <c:v>#N/A</c:v>
                </c:pt>
                <c:pt idx="377" formatCode="General">
                  <c:v>#N/A</c:v>
                </c:pt>
                <c:pt idx="378" formatCode="General">
                  <c:v>#N/A</c:v>
                </c:pt>
                <c:pt idx="379" formatCode="General">
                  <c:v>#N/A</c:v>
                </c:pt>
                <c:pt idx="380" formatCode="General">
                  <c:v>#N/A</c:v>
                </c:pt>
                <c:pt idx="381" formatCode="General">
                  <c:v>#N/A</c:v>
                </c:pt>
                <c:pt idx="382" formatCode="General">
                  <c:v>#N/A</c:v>
                </c:pt>
                <c:pt idx="383" formatCode="General">
                  <c:v>#N/A</c:v>
                </c:pt>
                <c:pt idx="384" formatCode="General">
                  <c:v>#N/A</c:v>
                </c:pt>
                <c:pt idx="385">
                  <c:v>651.94000000000005</c:v>
                </c:pt>
                <c:pt idx="386" formatCode="General">
                  <c:v>#N/A</c:v>
                </c:pt>
                <c:pt idx="387" formatCode="General">
                  <c:v>#N/A</c:v>
                </c:pt>
                <c:pt idx="388">
                  <c:v>712.56</c:v>
                </c:pt>
                <c:pt idx="389">
                  <c:v>635.08000000000004</c:v>
                </c:pt>
                <c:pt idx="390" formatCode="General">
                  <c:v>#N/A</c:v>
                </c:pt>
                <c:pt idx="391" formatCode="General">
                  <c:v>#N/A</c:v>
                </c:pt>
                <c:pt idx="392" formatCode="General">
                  <c:v>#N/A</c:v>
                </c:pt>
                <c:pt idx="393">
                  <c:v>819.7</c:v>
                </c:pt>
                <c:pt idx="394" formatCode="General">
                  <c:v>#N/A</c:v>
                </c:pt>
              </c:numCache>
            </c:numRef>
          </c:xVal>
          <c:yVal>
            <c:numRef>
              <c:f>Datos_Base!$L$2:$L$396</c:f>
              <c:numCache>
                <c:formatCode>#,##0.00</c:formatCode>
                <c:ptCount val="395"/>
                <c:pt idx="0" formatCode="General">
                  <c:v>#N/A</c:v>
                </c:pt>
                <c:pt idx="1">
                  <c:v>1467.47</c:v>
                </c:pt>
                <c:pt idx="2" formatCode="General">
                  <c:v>#N/A</c:v>
                </c:pt>
                <c:pt idx="3" formatCode="General">
                  <c:v>#N/A</c:v>
                </c:pt>
                <c:pt idx="4" formatCode="General">
                  <c:v>#N/A</c:v>
                </c:pt>
                <c:pt idx="5">
                  <c:v>1507.14</c:v>
                </c:pt>
                <c:pt idx="6">
                  <c:v>1120.33</c:v>
                </c:pt>
                <c:pt idx="7" formatCode="General">
                  <c:v>#N/A</c:v>
                </c:pt>
                <c:pt idx="8">
                  <c:v>1372.27</c:v>
                </c:pt>
                <c:pt idx="9" formatCode="General">
                  <c:v>#N/A</c:v>
                </c:pt>
                <c:pt idx="10" formatCode="General">
                  <c:v>#N/A</c:v>
                </c:pt>
                <c:pt idx="11">
                  <c:v>1312.4</c:v>
                </c:pt>
                <c:pt idx="12" formatCode="General">
                  <c:v>#N/A</c:v>
                </c:pt>
                <c:pt idx="13" formatCode="General">
                  <c:v>#N/A</c:v>
                </c:pt>
                <c:pt idx="14" formatCode="General">
                  <c:v>#N/A</c:v>
                </c:pt>
                <c:pt idx="15" formatCode="General">
                  <c:v>#N/A</c:v>
                </c:pt>
                <c:pt idx="16">
                  <c:v>1370.79</c:v>
                </c:pt>
                <c:pt idx="17">
                  <c:v>1511.33</c:v>
                </c:pt>
                <c:pt idx="18" formatCode="General">
                  <c:v>#N/A</c:v>
                </c:pt>
                <c:pt idx="19" formatCode="General">
                  <c:v>#N/A</c:v>
                </c:pt>
                <c:pt idx="20">
                  <c:v>1150.31</c:v>
                </c:pt>
                <c:pt idx="21" formatCode="General">
                  <c:v>#N/A</c:v>
                </c:pt>
                <c:pt idx="22" formatCode="General">
                  <c:v>#N/A</c:v>
                </c:pt>
                <c:pt idx="23" formatCode="General">
                  <c:v>#N/A</c:v>
                </c:pt>
                <c:pt idx="24" formatCode="General">
                  <c:v>#N/A</c:v>
                </c:pt>
                <c:pt idx="25" formatCode="General">
                  <c:v>#N/A</c:v>
                </c:pt>
                <c:pt idx="26" formatCode="General">
                  <c:v>#N/A</c:v>
                </c:pt>
                <c:pt idx="27" formatCode="General">
                  <c:v>#N/A</c:v>
                </c:pt>
                <c:pt idx="28" formatCode="General">
                  <c:v>#N/A</c:v>
                </c:pt>
                <c:pt idx="29" formatCode="General">
                  <c:v>#N/A</c:v>
                </c:pt>
                <c:pt idx="30" formatCode="General">
                  <c:v>#N/A</c:v>
                </c:pt>
                <c:pt idx="31">
                  <c:v>1151.92</c:v>
                </c:pt>
                <c:pt idx="32" formatCode="General">
                  <c:v>#N/A</c:v>
                </c:pt>
                <c:pt idx="33" formatCode="General">
                  <c:v>#N/A</c:v>
                </c:pt>
                <c:pt idx="34" formatCode="General">
                  <c:v>#N/A</c:v>
                </c:pt>
                <c:pt idx="35" formatCode="General">
                  <c:v>#N/A</c:v>
                </c:pt>
                <c:pt idx="36" formatCode="General">
                  <c:v>#N/A</c:v>
                </c:pt>
                <c:pt idx="37" formatCode="General">
                  <c:v>#N/A</c:v>
                </c:pt>
                <c:pt idx="38" formatCode="General">
                  <c:v>#N/A</c:v>
                </c:pt>
                <c:pt idx="39" formatCode="General">
                  <c:v>#N/A</c:v>
                </c:pt>
                <c:pt idx="40">
                  <c:v>1140.77</c:v>
                </c:pt>
                <c:pt idx="41">
                  <c:v>1232.3900000000001</c:v>
                </c:pt>
                <c:pt idx="42" formatCode="General">
                  <c:v>#N/A</c:v>
                </c:pt>
                <c:pt idx="43" formatCode="General">
                  <c:v>#N/A</c:v>
                </c:pt>
                <c:pt idx="44" formatCode="General">
                  <c:v>#N/A</c:v>
                </c:pt>
                <c:pt idx="45" formatCode="General">
                  <c:v>#N/A</c:v>
                </c:pt>
                <c:pt idx="46" formatCode="General">
                  <c:v>#N/A</c:v>
                </c:pt>
                <c:pt idx="47" formatCode="General">
                  <c:v>#N/A</c:v>
                </c:pt>
                <c:pt idx="48">
                  <c:v>1303.26</c:v>
                </c:pt>
                <c:pt idx="49">
                  <c:v>1392.1</c:v>
                </c:pt>
                <c:pt idx="50" formatCode="General">
                  <c:v>#N/A</c:v>
                </c:pt>
                <c:pt idx="51" formatCode="General">
                  <c:v>#N/A</c:v>
                </c:pt>
                <c:pt idx="52" formatCode="General">
                  <c:v>#N/A</c:v>
                </c:pt>
                <c:pt idx="53" formatCode="General">
                  <c:v>#N/A</c:v>
                </c:pt>
                <c:pt idx="54" formatCode="General">
                  <c:v>#N/A</c:v>
                </c:pt>
                <c:pt idx="55" formatCode="General">
                  <c:v>#N/A</c:v>
                </c:pt>
                <c:pt idx="56">
                  <c:v>1386.14</c:v>
                </c:pt>
                <c:pt idx="57">
                  <c:v>1126.97</c:v>
                </c:pt>
                <c:pt idx="58">
                  <c:v>1191.3699999999999</c:v>
                </c:pt>
                <c:pt idx="59" formatCode="General">
                  <c:v>#N/A</c:v>
                </c:pt>
                <c:pt idx="60">
                  <c:v>1582.47</c:v>
                </c:pt>
                <c:pt idx="61" formatCode="General">
                  <c:v>#N/A</c:v>
                </c:pt>
                <c:pt idx="62" formatCode="General">
                  <c:v>#N/A</c:v>
                </c:pt>
                <c:pt idx="63">
                  <c:v>1591.65</c:v>
                </c:pt>
                <c:pt idx="64" formatCode="General">
                  <c:v>#N/A</c:v>
                </c:pt>
                <c:pt idx="65">
                  <c:v>1592.81</c:v>
                </c:pt>
                <c:pt idx="66" formatCode="General">
                  <c:v>#N/A</c:v>
                </c:pt>
                <c:pt idx="67">
                  <c:v>1223.08</c:v>
                </c:pt>
                <c:pt idx="68">
                  <c:v>1242.8</c:v>
                </c:pt>
                <c:pt idx="69" formatCode="General">
                  <c:v>#N/A</c:v>
                </c:pt>
                <c:pt idx="70" formatCode="General">
                  <c:v>#N/A</c:v>
                </c:pt>
                <c:pt idx="71">
                  <c:v>1472.56</c:v>
                </c:pt>
                <c:pt idx="72" formatCode="General">
                  <c:v>#N/A</c:v>
                </c:pt>
                <c:pt idx="73">
                  <c:v>1232.73</c:v>
                </c:pt>
                <c:pt idx="74" formatCode="General">
                  <c:v>#N/A</c:v>
                </c:pt>
                <c:pt idx="75">
                  <c:v>1157.81</c:v>
                </c:pt>
                <c:pt idx="76" formatCode="General">
                  <c:v>#N/A</c:v>
                </c:pt>
                <c:pt idx="77" formatCode="General">
                  <c:v>#N/A</c:v>
                </c:pt>
                <c:pt idx="78" formatCode="General">
                  <c:v>#N/A</c:v>
                </c:pt>
                <c:pt idx="79" formatCode="General">
                  <c:v>#N/A</c:v>
                </c:pt>
                <c:pt idx="80" formatCode="General">
                  <c:v>#N/A</c:v>
                </c:pt>
                <c:pt idx="81" formatCode="General">
                  <c:v>#N/A</c:v>
                </c:pt>
                <c:pt idx="82" formatCode="General">
                  <c:v>#N/A</c:v>
                </c:pt>
                <c:pt idx="83" formatCode="General">
                  <c:v>#N/A</c:v>
                </c:pt>
                <c:pt idx="84">
                  <c:v>1080.6300000000001</c:v>
                </c:pt>
                <c:pt idx="85" formatCode="General">
                  <c:v>#N/A</c:v>
                </c:pt>
                <c:pt idx="86">
                  <c:v>1277.01</c:v>
                </c:pt>
                <c:pt idx="87">
                  <c:v>1086.05</c:v>
                </c:pt>
                <c:pt idx="88" formatCode="General">
                  <c:v>#N/A</c:v>
                </c:pt>
                <c:pt idx="89">
                  <c:v>1184.8</c:v>
                </c:pt>
                <c:pt idx="90" formatCode="General">
                  <c:v>#N/A</c:v>
                </c:pt>
                <c:pt idx="91" formatCode="General">
                  <c:v>#N/A</c:v>
                </c:pt>
                <c:pt idx="92" formatCode="General">
                  <c:v>#N/A</c:v>
                </c:pt>
                <c:pt idx="93" formatCode="General">
                  <c:v>#N/A</c:v>
                </c:pt>
                <c:pt idx="94" formatCode="General">
                  <c:v>#N/A</c:v>
                </c:pt>
                <c:pt idx="95" formatCode="General">
                  <c:v>#N/A</c:v>
                </c:pt>
                <c:pt idx="96">
                  <c:v>1388.34</c:v>
                </c:pt>
                <c:pt idx="97" formatCode="General">
                  <c:v>#N/A</c:v>
                </c:pt>
                <c:pt idx="98">
                  <c:v>1265.53</c:v>
                </c:pt>
                <c:pt idx="99">
                  <c:v>1149.2</c:v>
                </c:pt>
                <c:pt idx="100" formatCode="General">
                  <c:v>#N/A</c:v>
                </c:pt>
                <c:pt idx="101" formatCode="General">
                  <c:v>#N/A</c:v>
                </c:pt>
                <c:pt idx="102" formatCode="General">
                  <c:v>#N/A</c:v>
                </c:pt>
                <c:pt idx="103" formatCode="General">
                  <c:v>#N/A</c:v>
                </c:pt>
                <c:pt idx="104" formatCode="General">
                  <c:v>#N/A</c:v>
                </c:pt>
                <c:pt idx="105">
                  <c:v>1348.78</c:v>
                </c:pt>
                <c:pt idx="106" formatCode="General">
                  <c:v>#N/A</c:v>
                </c:pt>
                <c:pt idx="107">
                  <c:v>1297.92</c:v>
                </c:pt>
                <c:pt idx="108">
                  <c:v>1395.77</c:v>
                </c:pt>
                <c:pt idx="109" formatCode="General">
                  <c:v>#N/A</c:v>
                </c:pt>
                <c:pt idx="110">
                  <c:v>1132.29</c:v>
                </c:pt>
                <c:pt idx="111">
                  <c:v>1278.96</c:v>
                </c:pt>
                <c:pt idx="112">
                  <c:v>1171.6400000000001</c:v>
                </c:pt>
                <c:pt idx="113" formatCode="General">
                  <c:v>#N/A</c:v>
                </c:pt>
                <c:pt idx="114" formatCode="General">
                  <c:v>#N/A</c:v>
                </c:pt>
                <c:pt idx="115" formatCode="General">
                  <c:v>#N/A</c:v>
                </c:pt>
                <c:pt idx="116" formatCode="General">
                  <c:v>#N/A</c:v>
                </c:pt>
                <c:pt idx="117" formatCode="General">
                  <c:v>#N/A</c:v>
                </c:pt>
                <c:pt idx="118" formatCode="General">
                  <c:v>#N/A</c:v>
                </c:pt>
                <c:pt idx="119" formatCode="General">
                  <c:v>#N/A</c:v>
                </c:pt>
                <c:pt idx="120">
                  <c:v>1297.31</c:v>
                </c:pt>
                <c:pt idx="121" formatCode="General">
                  <c:v>#N/A</c:v>
                </c:pt>
                <c:pt idx="122" formatCode="General">
                  <c:v>#N/A</c:v>
                </c:pt>
                <c:pt idx="123" formatCode="General">
                  <c:v>#N/A</c:v>
                </c:pt>
                <c:pt idx="124" formatCode="General">
                  <c:v>#N/A</c:v>
                </c:pt>
                <c:pt idx="125" formatCode="General">
                  <c:v>#N/A</c:v>
                </c:pt>
                <c:pt idx="126" formatCode="General">
                  <c:v>#N/A</c:v>
                </c:pt>
                <c:pt idx="127">
                  <c:v>1216.56</c:v>
                </c:pt>
                <c:pt idx="128" formatCode="General">
                  <c:v>#N/A</c:v>
                </c:pt>
                <c:pt idx="129">
                  <c:v>1352.57</c:v>
                </c:pt>
                <c:pt idx="130" formatCode="General">
                  <c:v>#N/A</c:v>
                </c:pt>
                <c:pt idx="131" formatCode="General">
                  <c:v>#N/A</c:v>
                </c:pt>
                <c:pt idx="132">
                  <c:v>1113.76</c:v>
                </c:pt>
                <c:pt idx="133" formatCode="General">
                  <c:v>#N/A</c:v>
                </c:pt>
                <c:pt idx="134" formatCode="General">
                  <c:v>#N/A</c:v>
                </c:pt>
                <c:pt idx="135" formatCode="General">
                  <c:v>#N/A</c:v>
                </c:pt>
                <c:pt idx="136" formatCode="General">
                  <c:v>#N/A</c:v>
                </c:pt>
                <c:pt idx="137">
                  <c:v>1287.8599999999999</c:v>
                </c:pt>
                <c:pt idx="138">
                  <c:v>1379.59</c:v>
                </c:pt>
                <c:pt idx="139">
                  <c:v>1523.94</c:v>
                </c:pt>
                <c:pt idx="140" formatCode="General">
                  <c:v>#N/A</c:v>
                </c:pt>
                <c:pt idx="141" formatCode="General">
                  <c:v>#N/A</c:v>
                </c:pt>
                <c:pt idx="142" formatCode="General">
                  <c:v>#N/A</c:v>
                </c:pt>
                <c:pt idx="143" formatCode="General">
                  <c:v>#N/A</c:v>
                </c:pt>
                <c:pt idx="144" formatCode="General">
                  <c:v>#N/A</c:v>
                </c:pt>
                <c:pt idx="145" formatCode="General">
                  <c:v>#N/A</c:v>
                </c:pt>
                <c:pt idx="146" formatCode="General">
                  <c:v>#N/A</c:v>
                </c:pt>
                <c:pt idx="147" formatCode="General">
                  <c:v>#N/A</c:v>
                </c:pt>
                <c:pt idx="148" formatCode="General">
                  <c:v>#N/A</c:v>
                </c:pt>
                <c:pt idx="149" formatCode="General">
                  <c:v>#N/A</c:v>
                </c:pt>
                <c:pt idx="150" formatCode="General">
                  <c:v>#N/A</c:v>
                </c:pt>
                <c:pt idx="151">
                  <c:v>1318.1</c:v>
                </c:pt>
                <c:pt idx="152" formatCode="General">
                  <c:v>#N/A</c:v>
                </c:pt>
                <c:pt idx="153">
                  <c:v>1176.17</c:v>
                </c:pt>
                <c:pt idx="154" formatCode="General">
                  <c:v>#N/A</c:v>
                </c:pt>
                <c:pt idx="155">
                  <c:v>1140.1400000000001</c:v>
                </c:pt>
                <c:pt idx="156" formatCode="General">
                  <c:v>#N/A</c:v>
                </c:pt>
                <c:pt idx="157" formatCode="General">
                  <c:v>#N/A</c:v>
                </c:pt>
                <c:pt idx="158" formatCode="General">
                  <c:v>#N/A</c:v>
                </c:pt>
                <c:pt idx="159" formatCode="General">
                  <c:v>#N/A</c:v>
                </c:pt>
                <c:pt idx="160">
                  <c:v>1527.05</c:v>
                </c:pt>
                <c:pt idx="161" formatCode="General">
                  <c:v>#N/A</c:v>
                </c:pt>
                <c:pt idx="162" formatCode="General">
                  <c:v>#N/A</c:v>
                </c:pt>
                <c:pt idx="163" formatCode="General">
                  <c:v>#N/A</c:v>
                </c:pt>
                <c:pt idx="164" formatCode="General">
                  <c:v>#N/A</c:v>
                </c:pt>
                <c:pt idx="165" formatCode="General">
                  <c:v>#N/A</c:v>
                </c:pt>
                <c:pt idx="166" formatCode="General">
                  <c:v>#N/A</c:v>
                </c:pt>
                <c:pt idx="167">
                  <c:v>1244.3</c:v>
                </c:pt>
                <c:pt idx="168" formatCode="General">
                  <c:v>#N/A</c:v>
                </c:pt>
                <c:pt idx="169" formatCode="General">
                  <c:v>#N/A</c:v>
                </c:pt>
                <c:pt idx="170" formatCode="General">
                  <c:v>#N/A</c:v>
                </c:pt>
                <c:pt idx="171" formatCode="General">
                  <c:v>#N/A</c:v>
                </c:pt>
                <c:pt idx="172">
                  <c:v>1569.77</c:v>
                </c:pt>
                <c:pt idx="173" formatCode="General">
                  <c:v>#N/A</c:v>
                </c:pt>
                <c:pt idx="174" formatCode="General">
                  <c:v>#N/A</c:v>
                </c:pt>
                <c:pt idx="175" formatCode="General">
                  <c:v>#N/A</c:v>
                </c:pt>
                <c:pt idx="176">
                  <c:v>1216.24</c:v>
                </c:pt>
                <c:pt idx="177" formatCode="General">
                  <c:v>#N/A</c:v>
                </c:pt>
                <c:pt idx="178" formatCode="General">
                  <c:v>#N/A</c:v>
                </c:pt>
                <c:pt idx="179" formatCode="General">
                  <c:v>#N/A</c:v>
                </c:pt>
                <c:pt idx="180" formatCode="General">
                  <c:v>#N/A</c:v>
                </c:pt>
                <c:pt idx="181">
                  <c:v>1266.51</c:v>
                </c:pt>
                <c:pt idx="182" formatCode="General">
                  <c:v>#N/A</c:v>
                </c:pt>
                <c:pt idx="183" formatCode="General">
                  <c:v>#N/A</c:v>
                </c:pt>
                <c:pt idx="184" formatCode="General">
                  <c:v>#N/A</c:v>
                </c:pt>
                <c:pt idx="185">
                  <c:v>1186.81</c:v>
                </c:pt>
                <c:pt idx="186" formatCode="General">
                  <c:v>#N/A</c:v>
                </c:pt>
                <c:pt idx="187" formatCode="General">
                  <c:v>#N/A</c:v>
                </c:pt>
                <c:pt idx="188" formatCode="General">
                  <c:v>#N/A</c:v>
                </c:pt>
                <c:pt idx="189">
                  <c:v>1313.02</c:v>
                </c:pt>
                <c:pt idx="190" formatCode="General">
                  <c:v>#N/A</c:v>
                </c:pt>
                <c:pt idx="191">
                  <c:v>1272.67</c:v>
                </c:pt>
                <c:pt idx="192">
                  <c:v>1370.97</c:v>
                </c:pt>
                <c:pt idx="193">
                  <c:v>1226.58</c:v>
                </c:pt>
                <c:pt idx="194">
                  <c:v>1454.87</c:v>
                </c:pt>
                <c:pt idx="195" formatCode="General">
                  <c:v>#N/A</c:v>
                </c:pt>
                <c:pt idx="196" formatCode="General">
                  <c:v>#N/A</c:v>
                </c:pt>
                <c:pt idx="197" formatCode="General">
                  <c:v>#N/A</c:v>
                </c:pt>
                <c:pt idx="198" formatCode="General">
                  <c:v>#N/A</c:v>
                </c:pt>
                <c:pt idx="199" formatCode="General">
                  <c:v>#N/A</c:v>
                </c:pt>
                <c:pt idx="200" formatCode="General">
                  <c:v>#N/A</c:v>
                </c:pt>
                <c:pt idx="201" formatCode="General">
                  <c:v>#N/A</c:v>
                </c:pt>
                <c:pt idx="202" formatCode="General">
                  <c:v>#N/A</c:v>
                </c:pt>
                <c:pt idx="203">
                  <c:v>1337.02</c:v>
                </c:pt>
                <c:pt idx="204" formatCode="General">
                  <c:v>#N/A</c:v>
                </c:pt>
                <c:pt idx="205" formatCode="General">
                  <c:v>#N/A</c:v>
                </c:pt>
                <c:pt idx="206">
                  <c:v>1290.31</c:v>
                </c:pt>
                <c:pt idx="207" formatCode="General">
                  <c:v>#N/A</c:v>
                </c:pt>
                <c:pt idx="208" formatCode="General">
                  <c:v>#N/A</c:v>
                </c:pt>
                <c:pt idx="209">
                  <c:v>1241.22</c:v>
                </c:pt>
                <c:pt idx="210">
                  <c:v>1177.2</c:v>
                </c:pt>
                <c:pt idx="211">
                  <c:v>1573.19</c:v>
                </c:pt>
                <c:pt idx="212" formatCode="General">
                  <c:v>#N/A</c:v>
                </c:pt>
                <c:pt idx="213" formatCode="General">
                  <c:v>#N/A</c:v>
                </c:pt>
                <c:pt idx="214">
                  <c:v>1208.8699999999999</c:v>
                </c:pt>
                <c:pt idx="215" formatCode="General">
                  <c:v>#N/A</c:v>
                </c:pt>
                <c:pt idx="216" formatCode="General">
                  <c:v>#N/A</c:v>
                </c:pt>
                <c:pt idx="217" formatCode="General">
                  <c:v>#N/A</c:v>
                </c:pt>
                <c:pt idx="218" formatCode="General">
                  <c:v>#N/A</c:v>
                </c:pt>
                <c:pt idx="219" formatCode="General">
                  <c:v>#N/A</c:v>
                </c:pt>
                <c:pt idx="220">
                  <c:v>1450.54</c:v>
                </c:pt>
                <c:pt idx="221" formatCode="General">
                  <c:v>#N/A</c:v>
                </c:pt>
                <c:pt idx="222">
                  <c:v>1234.9100000000001</c:v>
                </c:pt>
                <c:pt idx="223" formatCode="General">
                  <c:v>#N/A</c:v>
                </c:pt>
                <c:pt idx="224">
                  <c:v>1292.06</c:v>
                </c:pt>
                <c:pt idx="225" formatCode="General">
                  <c:v>#N/A</c:v>
                </c:pt>
                <c:pt idx="226" formatCode="General">
                  <c:v>#N/A</c:v>
                </c:pt>
                <c:pt idx="227">
                  <c:v>1290.8599999999999</c:v>
                </c:pt>
                <c:pt idx="228" formatCode="General">
                  <c:v>#N/A</c:v>
                </c:pt>
                <c:pt idx="229" formatCode="General">
                  <c:v>#N/A</c:v>
                </c:pt>
                <c:pt idx="230" formatCode="General">
                  <c:v>#N/A</c:v>
                </c:pt>
                <c:pt idx="231" formatCode="General">
                  <c:v>#N/A</c:v>
                </c:pt>
                <c:pt idx="232">
                  <c:v>1485.04</c:v>
                </c:pt>
                <c:pt idx="233">
                  <c:v>1235.3599999999999</c:v>
                </c:pt>
                <c:pt idx="234" formatCode="General">
                  <c:v>#N/A</c:v>
                </c:pt>
                <c:pt idx="235" formatCode="General">
                  <c:v>#N/A</c:v>
                </c:pt>
                <c:pt idx="236" formatCode="General">
                  <c:v>#N/A</c:v>
                </c:pt>
                <c:pt idx="237" formatCode="General">
                  <c:v>#N/A</c:v>
                </c:pt>
                <c:pt idx="238" formatCode="General">
                  <c:v>#N/A</c:v>
                </c:pt>
                <c:pt idx="239" formatCode="General">
                  <c:v>#N/A</c:v>
                </c:pt>
                <c:pt idx="240" formatCode="General">
                  <c:v>#N/A</c:v>
                </c:pt>
                <c:pt idx="241" formatCode="General">
                  <c:v>#N/A</c:v>
                </c:pt>
                <c:pt idx="242" formatCode="General">
                  <c:v>#N/A</c:v>
                </c:pt>
                <c:pt idx="243" formatCode="General">
                  <c:v>#N/A</c:v>
                </c:pt>
                <c:pt idx="244">
                  <c:v>1550.96</c:v>
                </c:pt>
                <c:pt idx="245" formatCode="General">
                  <c:v>#N/A</c:v>
                </c:pt>
                <c:pt idx="246" formatCode="General">
                  <c:v>#N/A</c:v>
                </c:pt>
                <c:pt idx="247" formatCode="General">
                  <c:v>#N/A</c:v>
                </c:pt>
                <c:pt idx="248" formatCode="General">
                  <c:v>#N/A</c:v>
                </c:pt>
                <c:pt idx="249" formatCode="General">
                  <c:v>#N/A</c:v>
                </c:pt>
                <c:pt idx="250" formatCode="General">
                  <c:v>#N/A</c:v>
                </c:pt>
                <c:pt idx="251">
                  <c:v>1090.02</c:v>
                </c:pt>
                <c:pt idx="252" formatCode="General">
                  <c:v>#N/A</c:v>
                </c:pt>
                <c:pt idx="253" formatCode="General">
                  <c:v>#N/A</c:v>
                </c:pt>
                <c:pt idx="254">
                  <c:v>1405.91</c:v>
                </c:pt>
                <c:pt idx="255" formatCode="General">
                  <c:v>#N/A</c:v>
                </c:pt>
                <c:pt idx="256" formatCode="General">
                  <c:v>#N/A</c:v>
                </c:pt>
                <c:pt idx="257" formatCode="General">
                  <c:v>#N/A</c:v>
                </c:pt>
                <c:pt idx="258" formatCode="General">
                  <c:v>#N/A</c:v>
                </c:pt>
                <c:pt idx="259" formatCode="General">
                  <c:v>#N/A</c:v>
                </c:pt>
                <c:pt idx="260">
                  <c:v>1269.8499999999999</c:v>
                </c:pt>
                <c:pt idx="261">
                  <c:v>1563.25</c:v>
                </c:pt>
                <c:pt idx="262">
                  <c:v>1590.06</c:v>
                </c:pt>
                <c:pt idx="263" formatCode="General">
                  <c:v>#N/A</c:v>
                </c:pt>
                <c:pt idx="264" formatCode="General">
                  <c:v>#N/A</c:v>
                </c:pt>
                <c:pt idx="265" formatCode="General">
                  <c:v>#N/A</c:v>
                </c:pt>
                <c:pt idx="266">
                  <c:v>1548.13</c:v>
                </c:pt>
                <c:pt idx="267" formatCode="General">
                  <c:v>#N/A</c:v>
                </c:pt>
                <c:pt idx="268">
                  <c:v>1224.92</c:v>
                </c:pt>
                <c:pt idx="269" formatCode="General">
                  <c:v>#N/A</c:v>
                </c:pt>
                <c:pt idx="270" formatCode="General">
                  <c:v>#N/A</c:v>
                </c:pt>
                <c:pt idx="271" formatCode="General">
                  <c:v>#N/A</c:v>
                </c:pt>
                <c:pt idx="272" formatCode="General">
                  <c:v>#N/A</c:v>
                </c:pt>
                <c:pt idx="273" formatCode="General">
                  <c:v>#N/A</c:v>
                </c:pt>
                <c:pt idx="274" formatCode="General">
                  <c:v>#N/A</c:v>
                </c:pt>
                <c:pt idx="275">
                  <c:v>1112.8800000000001</c:v>
                </c:pt>
                <c:pt idx="276" formatCode="General">
                  <c:v>#N/A</c:v>
                </c:pt>
                <c:pt idx="277" formatCode="General">
                  <c:v>#N/A</c:v>
                </c:pt>
                <c:pt idx="278" formatCode="General">
                  <c:v>#N/A</c:v>
                </c:pt>
                <c:pt idx="279" formatCode="General">
                  <c:v>#N/A</c:v>
                </c:pt>
                <c:pt idx="280" formatCode="General">
                  <c:v>#N/A</c:v>
                </c:pt>
                <c:pt idx="281">
                  <c:v>1528.7</c:v>
                </c:pt>
                <c:pt idx="282" formatCode="General">
                  <c:v>#N/A</c:v>
                </c:pt>
                <c:pt idx="283" formatCode="General">
                  <c:v>#N/A</c:v>
                </c:pt>
                <c:pt idx="284" formatCode="General">
                  <c:v>#N/A</c:v>
                </c:pt>
                <c:pt idx="285">
                  <c:v>1278.57</c:v>
                </c:pt>
                <c:pt idx="286" formatCode="General">
                  <c:v>#N/A</c:v>
                </c:pt>
                <c:pt idx="287">
                  <c:v>1453.51</c:v>
                </c:pt>
                <c:pt idx="288" formatCode="General">
                  <c:v>#N/A</c:v>
                </c:pt>
                <c:pt idx="289" formatCode="General">
                  <c:v>#N/A</c:v>
                </c:pt>
                <c:pt idx="290">
                  <c:v>1129.3499999999999</c:v>
                </c:pt>
                <c:pt idx="291" formatCode="General">
                  <c:v>#N/A</c:v>
                </c:pt>
                <c:pt idx="292" formatCode="General">
                  <c:v>#N/A</c:v>
                </c:pt>
                <c:pt idx="293" formatCode="General">
                  <c:v>#N/A</c:v>
                </c:pt>
                <c:pt idx="294" formatCode="General">
                  <c:v>#N/A</c:v>
                </c:pt>
                <c:pt idx="295" formatCode="General">
                  <c:v>#N/A</c:v>
                </c:pt>
                <c:pt idx="296">
                  <c:v>1305.27</c:v>
                </c:pt>
                <c:pt idx="297">
                  <c:v>1084.3699999999999</c:v>
                </c:pt>
                <c:pt idx="298" formatCode="General">
                  <c:v>#N/A</c:v>
                </c:pt>
                <c:pt idx="299">
                  <c:v>1463.37</c:v>
                </c:pt>
                <c:pt idx="300" formatCode="General">
                  <c:v>#N/A</c:v>
                </c:pt>
                <c:pt idx="301" formatCode="General">
                  <c:v>#N/A</c:v>
                </c:pt>
                <c:pt idx="302" formatCode="General">
                  <c:v>#N/A</c:v>
                </c:pt>
                <c:pt idx="303">
                  <c:v>1551.91</c:v>
                </c:pt>
                <c:pt idx="304" formatCode="General">
                  <c:v>#N/A</c:v>
                </c:pt>
                <c:pt idx="305" formatCode="General">
                  <c:v>#N/A</c:v>
                </c:pt>
                <c:pt idx="306" formatCode="General">
                  <c:v>#N/A</c:v>
                </c:pt>
                <c:pt idx="307" formatCode="General">
                  <c:v>#N/A</c:v>
                </c:pt>
                <c:pt idx="308">
                  <c:v>1398.58</c:v>
                </c:pt>
                <c:pt idx="309">
                  <c:v>1297.17</c:v>
                </c:pt>
                <c:pt idx="310" formatCode="General">
                  <c:v>#N/A</c:v>
                </c:pt>
                <c:pt idx="311" formatCode="General">
                  <c:v>#N/A</c:v>
                </c:pt>
                <c:pt idx="312" formatCode="General">
                  <c:v>#N/A</c:v>
                </c:pt>
                <c:pt idx="313" formatCode="General">
                  <c:v>#N/A</c:v>
                </c:pt>
                <c:pt idx="314" formatCode="General">
                  <c:v>#N/A</c:v>
                </c:pt>
                <c:pt idx="315" formatCode="General">
                  <c:v>#N/A</c:v>
                </c:pt>
                <c:pt idx="316" formatCode="General">
                  <c:v>#N/A</c:v>
                </c:pt>
                <c:pt idx="317" formatCode="General">
                  <c:v>#N/A</c:v>
                </c:pt>
                <c:pt idx="318">
                  <c:v>1296.3800000000001</c:v>
                </c:pt>
                <c:pt idx="319">
                  <c:v>1501.94</c:v>
                </c:pt>
                <c:pt idx="320" formatCode="General">
                  <c:v>#N/A</c:v>
                </c:pt>
                <c:pt idx="321">
                  <c:v>1264.81</c:v>
                </c:pt>
                <c:pt idx="322" formatCode="General">
                  <c:v>#N/A</c:v>
                </c:pt>
                <c:pt idx="323" formatCode="General">
                  <c:v>#N/A</c:v>
                </c:pt>
                <c:pt idx="324">
                  <c:v>1276.7</c:v>
                </c:pt>
                <c:pt idx="325" formatCode="General">
                  <c:v>#N/A</c:v>
                </c:pt>
                <c:pt idx="326">
                  <c:v>1378.47</c:v>
                </c:pt>
                <c:pt idx="327" formatCode="General">
                  <c:v>#N/A</c:v>
                </c:pt>
                <c:pt idx="328" formatCode="General">
                  <c:v>#N/A</c:v>
                </c:pt>
                <c:pt idx="329" formatCode="General">
                  <c:v>#N/A</c:v>
                </c:pt>
                <c:pt idx="330" formatCode="General">
                  <c:v>#N/A</c:v>
                </c:pt>
                <c:pt idx="331">
                  <c:v>1330.66</c:v>
                </c:pt>
                <c:pt idx="332">
                  <c:v>1118.99</c:v>
                </c:pt>
                <c:pt idx="333">
                  <c:v>1246.23</c:v>
                </c:pt>
                <c:pt idx="334" formatCode="General">
                  <c:v>#N/A</c:v>
                </c:pt>
                <c:pt idx="335" formatCode="General">
                  <c:v>#N/A</c:v>
                </c:pt>
                <c:pt idx="336" formatCode="General">
                  <c:v>#N/A</c:v>
                </c:pt>
                <c:pt idx="337">
                  <c:v>1108.7</c:v>
                </c:pt>
                <c:pt idx="338" formatCode="General">
                  <c:v>#N/A</c:v>
                </c:pt>
                <c:pt idx="339">
                  <c:v>1403.83</c:v>
                </c:pt>
                <c:pt idx="340">
                  <c:v>1542.38</c:v>
                </c:pt>
                <c:pt idx="341" formatCode="General">
                  <c:v>#N/A</c:v>
                </c:pt>
                <c:pt idx="342" formatCode="General">
                  <c:v>#N/A</c:v>
                </c:pt>
                <c:pt idx="343" formatCode="General">
                  <c:v>#N/A</c:v>
                </c:pt>
                <c:pt idx="344" formatCode="General">
                  <c:v>#N/A</c:v>
                </c:pt>
                <c:pt idx="345" formatCode="General">
                  <c:v>#N/A</c:v>
                </c:pt>
                <c:pt idx="346" formatCode="General">
                  <c:v>#N/A</c:v>
                </c:pt>
                <c:pt idx="347" formatCode="General">
                  <c:v>#N/A</c:v>
                </c:pt>
                <c:pt idx="348" formatCode="General">
                  <c:v>#N/A</c:v>
                </c:pt>
                <c:pt idx="349" formatCode="General">
                  <c:v>#N/A</c:v>
                </c:pt>
                <c:pt idx="350" formatCode="General">
                  <c:v>#N/A</c:v>
                </c:pt>
                <c:pt idx="351" formatCode="General">
                  <c:v>#N/A</c:v>
                </c:pt>
                <c:pt idx="352" formatCode="General">
                  <c:v>#N/A</c:v>
                </c:pt>
                <c:pt idx="353" formatCode="General">
                  <c:v>#N/A</c:v>
                </c:pt>
                <c:pt idx="354" formatCode="General">
                  <c:v>#N/A</c:v>
                </c:pt>
                <c:pt idx="355" formatCode="General">
                  <c:v>#N/A</c:v>
                </c:pt>
                <c:pt idx="356" formatCode="General">
                  <c:v>#N/A</c:v>
                </c:pt>
                <c:pt idx="357" formatCode="General">
                  <c:v>#N/A</c:v>
                </c:pt>
                <c:pt idx="358" formatCode="General">
                  <c:v>#N/A</c:v>
                </c:pt>
                <c:pt idx="359" formatCode="General">
                  <c:v>#N/A</c:v>
                </c:pt>
                <c:pt idx="360" formatCode="General">
                  <c:v>#N/A</c:v>
                </c:pt>
                <c:pt idx="361" formatCode="General">
                  <c:v>#N/A</c:v>
                </c:pt>
                <c:pt idx="362" formatCode="General">
                  <c:v>#N/A</c:v>
                </c:pt>
                <c:pt idx="363" formatCode="General">
                  <c:v>#N/A</c:v>
                </c:pt>
                <c:pt idx="364">
                  <c:v>1567.28</c:v>
                </c:pt>
                <c:pt idx="365" formatCode="General">
                  <c:v>#N/A</c:v>
                </c:pt>
                <c:pt idx="366" formatCode="General">
                  <c:v>#N/A</c:v>
                </c:pt>
                <c:pt idx="367">
                  <c:v>1286.07</c:v>
                </c:pt>
                <c:pt idx="368">
                  <c:v>1089.3599999999999</c:v>
                </c:pt>
                <c:pt idx="369" formatCode="General">
                  <c:v>#N/A</c:v>
                </c:pt>
                <c:pt idx="370" formatCode="General">
                  <c:v>#N/A</c:v>
                </c:pt>
                <c:pt idx="371" formatCode="General">
                  <c:v>#N/A</c:v>
                </c:pt>
                <c:pt idx="372" formatCode="General">
                  <c:v>#N/A</c:v>
                </c:pt>
                <c:pt idx="373" formatCode="General">
                  <c:v>#N/A</c:v>
                </c:pt>
                <c:pt idx="374" formatCode="General">
                  <c:v>#N/A</c:v>
                </c:pt>
                <c:pt idx="375" formatCode="General">
                  <c:v>#N/A</c:v>
                </c:pt>
                <c:pt idx="376" formatCode="General">
                  <c:v>#N/A</c:v>
                </c:pt>
                <c:pt idx="377" formatCode="General">
                  <c:v>#N/A</c:v>
                </c:pt>
                <c:pt idx="378" formatCode="General">
                  <c:v>#N/A</c:v>
                </c:pt>
                <c:pt idx="379" formatCode="General">
                  <c:v>#N/A</c:v>
                </c:pt>
                <c:pt idx="380" formatCode="General">
                  <c:v>#N/A</c:v>
                </c:pt>
                <c:pt idx="381" formatCode="General">
                  <c:v>#N/A</c:v>
                </c:pt>
                <c:pt idx="382" formatCode="General">
                  <c:v>#N/A</c:v>
                </c:pt>
                <c:pt idx="383" formatCode="General">
                  <c:v>#N/A</c:v>
                </c:pt>
                <c:pt idx="384" formatCode="General">
                  <c:v>#N/A</c:v>
                </c:pt>
                <c:pt idx="385">
                  <c:v>1097.02</c:v>
                </c:pt>
                <c:pt idx="386" formatCode="General">
                  <c:v>#N/A</c:v>
                </c:pt>
                <c:pt idx="387" formatCode="General">
                  <c:v>#N/A</c:v>
                </c:pt>
                <c:pt idx="388">
                  <c:v>1279.3</c:v>
                </c:pt>
                <c:pt idx="389">
                  <c:v>1207.52</c:v>
                </c:pt>
                <c:pt idx="390" formatCode="General">
                  <c:v>#N/A</c:v>
                </c:pt>
                <c:pt idx="391" formatCode="General">
                  <c:v>#N/A</c:v>
                </c:pt>
                <c:pt idx="392" formatCode="General">
                  <c:v>#N/A</c:v>
                </c:pt>
                <c:pt idx="393">
                  <c:v>1529.45</c:v>
                </c:pt>
                <c:pt idx="394" formatCode="General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0-439D-9B9E-E979F9DD7FCE}"/>
            </c:ext>
          </c:extLst>
        </c:ser>
        <c:ser>
          <c:idx val="1"/>
          <c:order val="1"/>
          <c:tx>
            <c:v>Perfumería</c:v>
          </c:tx>
          <c:spPr>
            <a:ln w="28440">
              <a:noFill/>
            </a:ln>
          </c:spPr>
          <c:marker>
            <c:symbol val="circle"/>
            <c:size val="6"/>
            <c:spPr>
              <a:solidFill>
                <a:srgbClr val="2E9BD6"/>
              </a:solidFill>
              <a:ln>
                <a:solidFill>
                  <a:srgbClr val="2E9BD6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Datos_Base!$O$2:$O$396</c:f>
              <c:numCache>
                <c:formatCode>General</c:formatCode>
                <c:ptCount val="395"/>
                <c:pt idx="0" formatCode="#,##0.00">
                  <c:v>1596.65</c:v>
                </c:pt>
                <c:pt idx="1">
                  <c:v>#N/A</c:v>
                </c:pt>
                <c:pt idx="2">
                  <c:v>1847.03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 formatCode="#,##0.00">
                  <c:v>1637.63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 formatCode="#,##0.00">
                  <c:v>1682.61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 formatCode="#,##0.00">
                  <c:v>1444.56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1541.11</c:v>
                </c:pt>
                <c:pt idx="24">
                  <c:v>1589.68</c:v>
                </c:pt>
                <c:pt idx="25">
                  <c:v>#N/A</c:v>
                </c:pt>
                <c:pt idx="26" formatCode="#,##0.00">
                  <c:v>1638.4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 formatCode="#,##0.00">
                  <c:v>1797.99</c:v>
                </c:pt>
                <c:pt idx="33">
                  <c:v>#N/A</c:v>
                </c:pt>
                <c:pt idx="34">
                  <c:v>#N/A</c:v>
                </c:pt>
                <c:pt idx="35" formatCode="#,##0.00">
                  <c:v>1663.88</c:v>
                </c:pt>
                <c:pt idx="36" formatCode="#,##0.00">
                  <c:v>1755.79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 formatCode="#,##0.00">
                  <c:v>1831.32</c:v>
                </c:pt>
                <c:pt idx="43">
                  <c:v>#N/A</c:v>
                </c:pt>
                <c:pt idx="44" formatCode="#,##0.00">
                  <c:v>1600.19</c:v>
                </c:pt>
                <c:pt idx="45" formatCode="#,##0.00">
                  <c:v>1769.56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1613.15</c:v>
                </c:pt>
                <c:pt idx="54">
                  <c:v>#N/A</c:v>
                </c:pt>
                <c:pt idx="55">
                  <c:v>1739.48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1743.59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 formatCode="#,##0.00">
                  <c:v>1492.38</c:v>
                </c:pt>
                <c:pt idx="70">
                  <c:v>#N/A</c:v>
                </c:pt>
                <c:pt idx="71">
                  <c:v>#N/A</c:v>
                </c:pt>
                <c:pt idx="72" formatCode="#,##0.00">
                  <c:v>1606.77</c:v>
                </c:pt>
                <c:pt idx="73">
                  <c:v>#N/A</c:v>
                </c:pt>
                <c:pt idx="74">
                  <c:v>1589.6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1733.13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 formatCode="#,##0.00">
                  <c:v>1801.66</c:v>
                </c:pt>
                <c:pt idx="89">
                  <c:v>#N/A</c:v>
                </c:pt>
                <c:pt idx="90">
                  <c:v>#N/A</c:v>
                </c:pt>
                <c:pt idx="91" formatCode="#,##0.00">
                  <c:v>1634.42</c:v>
                </c:pt>
                <c:pt idx="92">
                  <c:v>#N/A</c:v>
                </c:pt>
                <c:pt idx="93">
                  <c:v>#N/A</c:v>
                </c:pt>
                <c:pt idx="94">
                  <c:v>1449.88</c:v>
                </c:pt>
                <c:pt idx="95" formatCode="#,##0.00">
                  <c:v>1882.9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 formatCode="#,##0.00">
                  <c:v>1671.41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 formatCode="#,##0.00">
                  <c:v>1630.82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1785.62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 formatCode="#,##0.00">
                  <c:v>1638.24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 formatCode="#,##0.00">
                  <c:v>1717.36</c:v>
                </c:pt>
                <c:pt idx="142">
                  <c:v>#N/A</c:v>
                </c:pt>
                <c:pt idx="143">
                  <c:v>1489.82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 formatCode="#,##0.00">
                  <c:v>1686.54</c:v>
                </c:pt>
                <c:pt idx="148" formatCode="#,##0.00">
                  <c:v>1666.48</c:v>
                </c:pt>
                <c:pt idx="149" formatCode="#,##0.00">
                  <c:v>1451.73</c:v>
                </c:pt>
                <c:pt idx="150">
                  <c:v>#N/A</c:v>
                </c:pt>
                <c:pt idx="151">
                  <c:v>#N/A</c:v>
                </c:pt>
                <c:pt idx="152" formatCode="#,##0.00">
                  <c:v>1836.3</c:v>
                </c:pt>
                <c:pt idx="153">
                  <c:v>#N/A</c:v>
                </c:pt>
                <c:pt idx="154" formatCode="#,##0.00">
                  <c:v>1846.8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1843.56</c:v>
                </c:pt>
                <c:pt idx="164">
                  <c:v>#N/A</c:v>
                </c:pt>
                <c:pt idx="165">
                  <c:v>1772.73</c:v>
                </c:pt>
                <c:pt idx="166">
                  <c:v>1629.87</c:v>
                </c:pt>
                <c:pt idx="167">
                  <c:v>#N/A</c:v>
                </c:pt>
                <c:pt idx="168">
                  <c:v>#N/A</c:v>
                </c:pt>
                <c:pt idx="169" formatCode="#,##0.00">
                  <c:v>1874.15</c:v>
                </c:pt>
                <c:pt idx="170" formatCode="#,##0.00">
                  <c:v>1779.69</c:v>
                </c:pt>
                <c:pt idx="171">
                  <c:v>1750.9</c:v>
                </c:pt>
                <c:pt idx="172">
                  <c:v>#N/A</c:v>
                </c:pt>
                <c:pt idx="173" formatCode="#,##0.00">
                  <c:v>1502.81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1588.73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1744.74</c:v>
                </c:pt>
                <c:pt idx="184" formatCode="#,##0.00">
                  <c:v>1719.07</c:v>
                </c:pt>
                <c:pt idx="185">
                  <c:v>#N/A</c:v>
                </c:pt>
                <c:pt idx="186">
                  <c:v>#N/A</c:v>
                </c:pt>
                <c:pt idx="187" formatCode="#,##0.00">
                  <c:v>1681.37</c:v>
                </c:pt>
                <c:pt idx="188" formatCode="#,##0.00">
                  <c:v>1589.92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 formatCode="#,##0.00">
                  <c:v>1604.82</c:v>
                </c:pt>
                <c:pt idx="197">
                  <c:v>#N/A</c:v>
                </c:pt>
                <c:pt idx="198">
                  <c:v>#N/A</c:v>
                </c:pt>
                <c:pt idx="199" formatCode="#,##0.00">
                  <c:v>1708.34</c:v>
                </c:pt>
                <c:pt idx="200" formatCode="#,##0.00">
                  <c:v>1622.88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 formatCode="#,##0.00">
                  <c:v>1513.35</c:v>
                </c:pt>
                <c:pt idx="205" formatCode="#,##0.00">
                  <c:v>1738.72</c:v>
                </c:pt>
                <c:pt idx="206">
                  <c:v>#N/A</c:v>
                </c:pt>
                <c:pt idx="207" formatCode="#,##0.00">
                  <c:v>1728.84</c:v>
                </c:pt>
                <c:pt idx="208" formatCode="#,##0.00">
                  <c:v>1684.27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 formatCode="#,##0.00">
                  <c:v>1554.51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 formatCode="#,##0.00">
                  <c:v>1488.26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 formatCode="#,##0.00">
                  <c:v>1806.64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1812.94</c:v>
                </c:pt>
                <c:pt idx="244">
                  <c:v>#N/A</c:v>
                </c:pt>
                <c:pt idx="245">
                  <c:v>1640.49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 formatCode="#,##0.00">
                  <c:v>1675.9</c:v>
                </c:pt>
                <c:pt idx="250" formatCode="#,##0.00">
                  <c:v>1645.57</c:v>
                </c:pt>
                <c:pt idx="251">
                  <c:v>#N/A</c:v>
                </c:pt>
                <c:pt idx="252">
                  <c:v>#N/A</c:v>
                </c:pt>
                <c:pt idx="253" formatCode="#,##0.00">
                  <c:v>1644.35</c:v>
                </c:pt>
                <c:pt idx="254">
                  <c:v>#N/A</c:v>
                </c:pt>
                <c:pt idx="255">
                  <c:v>1684.82</c:v>
                </c:pt>
                <c:pt idx="256" formatCode="#,##0.00">
                  <c:v>1546.6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 formatCode="#,##0.00">
                  <c:v>1850.32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 formatCode="#,##0.00">
                  <c:v>1863.03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1722.25</c:v>
                </c:pt>
                <c:pt idx="277">
                  <c:v>#N/A</c:v>
                </c:pt>
                <c:pt idx="278" formatCode="#,##0.00">
                  <c:v>1627.93</c:v>
                </c:pt>
                <c:pt idx="279">
                  <c:v>#N/A</c:v>
                </c:pt>
                <c:pt idx="280">
                  <c:v>1682.26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 formatCode="#,##0.00">
                  <c:v>1580.79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1903.13</c:v>
                </c:pt>
                <c:pt idx="294" formatCode="#,##0.00">
                  <c:v>1627.37</c:v>
                </c:pt>
                <c:pt idx="295">
                  <c:v>1668.4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 formatCode="#,##0.00">
                  <c:v>1662.37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1558.55</c:v>
                </c:pt>
                <c:pt idx="312" formatCode="#,##0.00">
                  <c:v>1702.87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 formatCode="#,##0.00">
                  <c:v>1697.16</c:v>
                </c:pt>
                <c:pt idx="318">
                  <c:v>#N/A</c:v>
                </c:pt>
                <c:pt idx="319">
                  <c:v>#N/A</c:v>
                </c:pt>
                <c:pt idx="320" formatCode="#,##0.00">
                  <c:v>1683.46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 formatCode="#,##0.00">
                  <c:v>1923.37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 formatCode="#,##0.00">
                  <c:v>1842.2</c:v>
                </c:pt>
                <c:pt idx="345">
                  <c:v>#N/A</c:v>
                </c:pt>
                <c:pt idx="346" formatCode="#,##0.00">
                  <c:v>1601.46</c:v>
                </c:pt>
                <c:pt idx="347">
                  <c:v>1714.3</c:v>
                </c:pt>
                <c:pt idx="348">
                  <c:v>#N/A</c:v>
                </c:pt>
                <c:pt idx="349">
                  <c:v>1749.25</c:v>
                </c:pt>
                <c:pt idx="350">
                  <c:v>#N/A</c:v>
                </c:pt>
                <c:pt idx="351" formatCode="#,##0.00">
                  <c:v>1702.15</c:v>
                </c:pt>
                <c:pt idx="352">
                  <c:v>1533.12</c:v>
                </c:pt>
                <c:pt idx="353">
                  <c:v>1737.53</c:v>
                </c:pt>
                <c:pt idx="354">
                  <c:v>#N/A</c:v>
                </c:pt>
                <c:pt idx="355" formatCode="#,##0.00">
                  <c:v>1770.99</c:v>
                </c:pt>
                <c:pt idx="356" formatCode="#,##0.00">
                  <c:v>1786.02</c:v>
                </c:pt>
                <c:pt idx="357">
                  <c:v>#N/A</c:v>
                </c:pt>
                <c:pt idx="358" formatCode="#,##0.00">
                  <c:v>1547.54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1572.59</c:v>
                </c:pt>
                <c:pt idx="374">
                  <c:v>#N/A</c:v>
                </c:pt>
                <c:pt idx="375" formatCode="#,##0.00">
                  <c:v>1848.72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 formatCode="#,##0.00">
                  <c:v>1511.63</c:v>
                </c:pt>
                <c:pt idx="380">
                  <c:v>#N/A</c:v>
                </c:pt>
                <c:pt idx="381" formatCode="#,##0.00">
                  <c:v>1541.84</c:v>
                </c:pt>
                <c:pt idx="382">
                  <c:v>#N/A</c:v>
                </c:pt>
                <c:pt idx="383">
                  <c:v>1505.46</c:v>
                </c:pt>
                <c:pt idx="384" formatCode="#,##0.00">
                  <c:v>1636.21</c:v>
                </c:pt>
                <c:pt idx="385">
                  <c:v>#N/A</c:v>
                </c:pt>
                <c:pt idx="386">
                  <c:v>#N/A</c:v>
                </c:pt>
                <c:pt idx="387" formatCode="#,##0.00">
                  <c:v>1610.58</c:v>
                </c:pt>
                <c:pt idx="388">
                  <c:v>#N/A</c:v>
                </c:pt>
                <c:pt idx="389">
                  <c:v>#N/A</c:v>
                </c:pt>
                <c:pt idx="390" formatCode="#,##0.00">
                  <c:v>1696.28</c:v>
                </c:pt>
                <c:pt idx="391">
                  <c:v>1839.89</c:v>
                </c:pt>
                <c:pt idx="392">
                  <c:v>#N/A</c:v>
                </c:pt>
                <c:pt idx="393">
                  <c:v>#N/A</c:v>
                </c:pt>
                <c:pt idx="394">
                  <c:v>1731.17</c:v>
                </c:pt>
              </c:numCache>
            </c:numRef>
          </c:xVal>
          <c:yVal>
            <c:numRef>
              <c:f>Datos_Base!$N$2:$N$396</c:f>
              <c:numCache>
                <c:formatCode>General</c:formatCode>
                <c:ptCount val="395"/>
                <c:pt idx="0" formatCode="#,##0.00">
                  <c:v>3456.44</c:v>
                </c:pt>
                <c:pt idx="1">
                  <c:v>#N/A</c:v>
                </c:pt>
                <c:pt idx="2">
                  <c:v>3421.57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 formatCode="#,##0.00">
                  <c:v>3209.91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 formatCode="#,##0.00">
                  <c:v>3465.05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 formatCode="#,##0.00">
                  <c:v>2963.83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3131.11</c:v>
                </c:pt>
                <c:pt idx="24">
                  <c:v>2967.84</c:v>
                </c:pt>
                <c:pt idx="25">
                  <c:v>#N/A</c:v>
                </c:pt>
                <c:pt idx="26" formatCode="#,##0.00">
                  <c:v>3238.09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 formatCode="#,##0.00">
                  <c:v>3088.47</c:v>
                </c:pt>
                <c:pt idx="33">
                  <c:v>#N/A</c:v>
                </c:pt>
                <c:pt idx="34">
                  <c:v>#N/A</c:v>
                </c:pt>
                <c:pt idx="35" formatCode="#,##0.00">
                  <c:v>3160.25</c:v>
                </c:pt>
                <c:pt idx="36" formatCode="#,##0.00">
                  <c:v>3257.78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 formatCode="#,##0.00">
                  <c:v>3093.64</c:v>
                </c:pt>
                <c:pt idx="43">
                  <c:v>#N/A</c:v>
                </c:pt>
                <c:pt idx="44" formatCode="#,##0.00">
                  <c:v>2928.11</c:v>
                </c:pt>
                <c:pt idx="45" formatCode="#,##0.00">
                  <c:v>3178.79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3664.75</c:v>
                </c:pt>
                <c:pt idx="54">
                  <c:v>#N/A</c:v>
                </c:pt>
                <c:pt idx="55">
                  <c:v>2998.73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3501.69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 formatCode="#,##0.00">
                  <c:v>2938.34</c:v>
                </c:pt>
                <c:pt idx="70">
                  <c:v>#N/A</c:v>
                </c:pt>
                <c:pt idx="71">
                  <c:v>#N/A</c:v>
                </c:pt>
                <c:pt idx="72" formatCode="#,##0.00">
                  <c:v>3061.31</c:v>
                </c:pt>
                <c:pt idx="73">
                  <c:v>#N/A</c:v>
                </c:pt>
                <c:pt idx="74">
                  <c:v>3444.49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3492.25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 formatCode="#,##0.00">
                  <c:v>3497.03</c:v>
                </c:pt>
                <c:pt idx="89">
                  <c:v>#N/A</c:v>
                </c:pt>
                <c:pt idx="90">
                  <c:v>#N/A</c:v>
                </c:pt>
                <c:pt idx="91" formatCode="#,##0.00">
                  <c:v>3405.05</c:v>
                </c:pt>
                <c:pt idx="92">
                  <c:v>#N/A</c:v>
                </c:pt>
                <c:pt idx="93">
                  <c:v>#N/A</c:v>
                </c:pt>
                <c:pt idx="94">
                  <c:v>3328.47</c:v>
                </c:pt>
                <c:pt idx="95" formatCode="#,##0.00">
                  <c:v>3511.63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 formatCode="#,##0.00">
                  <c:v>3503.85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 formatCode="#,##0.00">
                  <c:v>3325.7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3525.68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 formatCode="#,##0.00">
                  <c:v>3190.77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 formatCode="#,##0.00">
                  <c:v>3477.75</c:v>
                </c:pt>
                <c:pt idx="142">
                  <c:v>#N/A</c:v>
                </c:pt>
                <c:pt idx="143">
                  <c:v>3143.54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 formatCode="#,##0.00">
                  <c:v>2995.28</c:v>
                </c:pt>
                <c:pt idx="148" formatCode="#,##0.00">
                  <c:v>3271.96</c:v>
                </c:pt>
                <c:pt idx="149" formatCode="#,##0.00">
                  <c:v>3510.86</c:v>
                </c:pt>
                <c:pt idx="150">
                  <c:v>#N/A</c:v>
                </c:pt>
                <c:pt idx="151">
                  <c:v>#N/A</c:v>
                </c:pt>
                <c:pt idx="152" formatCode="#,##0.00">
                  <c:v>3449.53</c:v>
                </c:pt>
                <c:pt idx="153">
                  <c:v>#N/A</c:v>
                </c:pt>
                <c:pt idx="154" formatCode="#,##0.00">
                  <c:v>3719.39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3333.12</c:v>
                </c:pt>
                <c:pt idx="164">
                  <c:v>#N/A</c:v>
                </c:pt>
                <c:pt idx="165">
                  <c:v>3100.92</c:v>
                </c:pt>
                <c:pt idx="166">
                  <c:v>3142.62</c:v>
                </c:pt>
                <c:pt idx="167">
                  <c:v>#N/A</c:v>
                </c:pt>
                <c:pt idx="168">
                  <c:v>#N/A</c:v>
                </c:pt>
                <c:pt idx="169" formatCode="#,##0.00">
                  <c:v>3692.96</c:v>
                </c:pt>
                <c:pt idx="170" formatCode="#,##0.00">
                  <c:v>3518.94</c:v>
                </c:pt>
                <c:pt idx="171">
                  <c:v>2999.39</c:v>
                </c:pt>
                <c:pt idx="172">
                  <c:v>#N/A</c:v>
                </c:pt>
                <c:pt idx="173" formatCode="#,##0.00">
                  <c:v>2963.11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3318.9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3001.15</c:v>
                </c:pt>
                <c:pt idx="184" formatCode="#,##0.00">
                  <c:v>3303.32</c:v>
                </c:pt>
                <c:pt idx="185">
                  <c:v>#N/A</c:v>
                </c:pt>
                <c:pt idx="186">
                  <c:v>#N/A</c:v>
                </c:pt>
                <c:pt idx="187" formatCode="#,##0.00">
                  <c:v>3669.15</c:v>
                </c:pt>
                <c:pt idx="188" formatCode="#,##0.00">
                  <c:v>2909.17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 formatCode="#,##0.00">
                  <c:v>3364.19</c:v>
                </c:pt>
                <c:pt idx="197">
                  <c:v>#N/A</c:v>
                </c:pt>
                <c:pt idx="198">
                  <c:v>#N/A</c:v>
                </c:pt>
                <c:pt idx="199" formatCode="#,##0.00">
                  <c:v>3204.63</c:v>
                </c:pt>
                <c:pt idx="200" formatCode="#,##0.00">
                  <c:v>3586.99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 formatCode="#,##0.00">
                  <c:v>3167.1</c:v>
                </c:pt>
                <c:pt idx="205" formatCode="#,##0.00">
                  <c:v>3305.47</c:v>
                </c:pt>
                <c:pt idx="206">
                  <c:v>#N/A</c:v>
                </c:pt>
                <c:pt idx="207" formatCode="#,##0.00">
                  <c:v>3465.64</c:v>
                </c:pt>
                <c:pt idx="208" formatCode="#,##0.00">
                  <c:v>3074.56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 formatCode="#,##0.00">
                  <c:v>3417.99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 formatCode="#,##0.00">
                  <c:v>3463.43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 formatCode="#,##0.00">
                  <c:v>3163.67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3087.6</c:v>
                </c:pt>
                <c:pt idx="244">
                  <c:v>#N/A</c:v>
                </c:pt>
                <c:pt idx="245">
                  <c:v>2912.06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 formatCode="#,##0.00">
                  <c:v>3341.62</c:v>
                </c:pt>
                <c:pt idx="250" formatCode="#,##0.00">
                  <c:v>3376.65</c:v>
                </c:pt>
                <c:pt idx="251">
                  <c:v>#N/A</c:v>
                </c:pt>
                <c:pt idx="252">
                  <c:v>#N/A</c:v>
                </c:pt>
                <c:pt idx="253" formatCode="#,##0.00">
                  <c:v>3532.05</c:v>
                </c:pt>
                <c:pt idx="254">
                  <c:v>#N/A</c:v>
                </c:pt>
                <c:pt idx="255">
                  <c:v>3371.38</c:v>
                </c:pt>
                <c:pt idx="256" formatCode="#,##0.00">
                  <c:v>2912.04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 formatCode="#,##0.00">
                  <c:v>3635.09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 formatCode="#,##0.00">
                  <c:v>3088.23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3430.12</c:v>
                </c:pt>
                <c:pt idx="277">
                  <c:v>#N/A</c:v>
                </c:pt>
                <c:pt idx="278" formatCode="#,##0.00">
                  <c:v>3460.86</c:v>
                </c:pt>
                <c:pt idx="279">
                  <c:v>#N/A</c:v>
                </c:pt>
                <c:pt idx="280">
                  <c:v>2977.32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 formatCode="#,##0.00">
                  <c:v>3670.24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3506.3</c:v>
                </c:pt>
                <c:pt idx="294" formatCode="#,##0.00">
                  <c:v>3172.1</c:v>
                </c:pt>
                <c:pt idx="295">
                  <c:v>3310.65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 formatCode="#,##0.00">
                  <c:v>3262.63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3351.79</c:v>
                </c:pt>
                <c:pt idx="312" formatCode="#,##0.00">
                  <c:v>3321.24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 formatCode="#,##0.00">
                  <c:v>2972.82</c:v>
                </c:pt>
                <c:pt idx="318">
                  <c:v>#N/A</c:v>
                </c:pt>
                <c:pt idx="319">
                  <c:v>#N/A</c:v>
                </c:pt>
                <c:pt idx="320" formatCode="#,##0.00">
                  <c:v>3379.9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 formatCode="#,##0.00">
                  <c:v>3730.65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 formatCode="#,##0.00">
                  <c:v>3067.08</c:v>
                </c:pt>
                <c:pt idx="345">
                  <c:v>#N/A</c:v>
                </c:pt>
                <c:pt idx="346" formatCode="#,##0.00">
                  <c:v>3076.34</c:v>
                </c:pt>
                <c:pt idx="347">
                  <c:v>3375.61</c:v>
                </c:pt>
                <c:pt idx="348">
                  <c:v>#N/A</c:v>
                </c:pt>
                <c:pt idx="349">
                  <c:v>3478.24</c:v>
                </c:pt>
                <c:pt idx="350">
                  <c:v>#N/A</c:v>
                </c:pt>
                <c:pt idx="351" formatCode="#,##0.00">
                  <c:v>3306.41</c:v>
                </c:pt>
                <c:pt idx="352">
                  <c:v>2997.64</c:v>
                </c:pt>
                <c:pt idx="353">
                  <c:v>3334.31</c:v>
                </c:pt>
                <c:pt idx="354">
                  <c:v>#N/A</c:v>
                </c:pt>
                <c:pt idx="355" formatCode="#,##0.00">
                  <c:v>3694.19</c:v>
                </c:pt>
                <c:pt idx="356" formatCode="#,##0.00">
                  <c:v>3179.31</c:v>
                </c:pt>
                <c:pt idx="357">
                  <c:v>#N/A</c:v>
                </c:pt>
                <c:pt idx="358" formatCode="#,##0.00">
                  <c:v>3518.47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2932.87</c:v>
                </c:pt>
                <c:pt idx="374">
                  <c:v>#N/A</c:v>
                </c:pt>
                <c:pt idx="375" formatCode="#,##0.00">
                  <c:v>3235.54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 formatCode="#,##0.00">
                  <c:v>3428.84</c:v>
                </c:pt>
                <c:pt idx="380">
                  <c:v>#N/A</c:v>
                </c:pt>
                <c:pt idx="381" formatCode="#,##0.00">
                  <c:v>2956.63</c:v>
                </c:pt>
                <c:pt idx="382">
                  <c:v>#N/A</c:v>
                </c:pt>
                <c:pt idx="383">
                  <c:v>2898.34</c:v>
                </c:pt>
                <c:pt idx="384" formatCode="#,##0.00">
                  <c:v>3512.13</c:v>
                </c:pt>
                <c:pt idx="385">
                  <c:v>#N/A</c:v>
                </c:pt>
                <c:pt idx="386">
                  <c:v>#N/A</c:v>
                </c:pt>
                <c:pt idx="387" formatCode="#,##0.00">
                  <c:v>3625.96</c:v>
                </c:pt>
                <c:pt idx="388">
                  <c:v>#N/A</c:v>
                </c:pt>
                <c:pt idx="389">
                  <c:v>#N/A</c:v>
                </c:pt>
                <c:pt idx="390" formatCode="#,##0.00">
                  <c:v>3256.66</c:v>
                </c:pt>
                <c:pt idx="391">
                  <c:v>3220.99</c:v>
                </c:pt>
                <c:pt idx="392">
                  <c:v>#N/A</c:v>
                </c:pt>
                <c:pt idx="393">
                  <c:v>#N/A</c:v>
                </c:pt>
                <c:pt idx="394">
                  <c:v>3087.55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0-439D-9B9E-E979F9DD7FCE}"/>
            </c:ext>
          </c:extLst>
        </c:ser>
        <c:ser>
          <c:idx val="2"/>
          <c:order val="2"/>
          <c:tx>
            <c:v>Cuidado Facial</c:v>
          </c:tx>
          <c:spPr>
            <a:ln w="28440">
              <a:noFill/>
            </a:ln>
          </c:spPr>
          <c:marker>
            <c:symbol val="circle"/>
            <c:size val="6"/>
            <c: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Datos_Base!$Q$2:$Q$396</c:f>
              <c:numCache>
                <c:formatCode>General</c:formatCode>
                <c:ptCount val="3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 formatCode="#,##0.00">
                  <c:v>1098.18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 formatCode="#,##0.00">
                  <c:v>951.91</c:v>
                </c:pt>
                <c:pt idx="15" formatCode="#,##0.00">
                  <c:v>952.22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 formatCode="#,##0.00">
                  <c:v>1053.0999999999999</c:v>
                </c:pt>
                <c:pt idx="26">
                  <c:v>#N/A</c:v>
                </c:pt>
                <c:pt idx="27" formatCode="#,##0.00">
                  <c:v>813.32</c:v>
                </c:pt>
                <c:pt idx="28">
                  <c:v>#N/A</c:v>
                </c:pt>
                <c:pt idx="29" formatCode="#,##0.00">
                  <c:v>822.73</c:v>
                </c:pt>
                <c:pt idx="30" formatCode="#,##0.00">
                  <c:v>825.1</c:v>
                </c:pt>
                <c:pt idx="31">
                  <c:v>#N/A</c:v>
                </c:pt>
                <c:pt idx="32">
                  <c:v>#N/A</c:v>
                </c:pt>
                <c:pt idx="33" formatCode="#,##0.00">
                  <c:v>1102.1400000000001</c:v>
                </c:pt>
                <c:pt idx="34" formatCode="#,##0.00">
                  <c:v>993.45</c:v>
                </c:pt>
                <c:pt idx="35">
                  <c:v>#N/A</c:v>
                </c:pt>
                <c:pt idx="36">
                  <c:v>#N/A</c:v>
                </c:pt>
                <c:pt idx="37" formatCode="#,##0.00">
                  <c:v>1148.3</c:v>
                </c:pt>
                <c:pt idx="38" formatCode="#,##0.00">
                  <c:v>901.57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 formatCode="#,##0.00">
                  <c:v>1038.6300000000001</c:v>
                </c:pt>
                <c:pt idx="48">
                  <c:v>#N/A</c:v>
                </c:pt>
                <c:pt idx="49">
                  <c:v>#N/A</c:v>
                </c:pt>
                <c:pt idx="50" formatCode="#,##0.00">
                  <c:v>895.55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 formatCode="#,##0.00">
                  <c:v>1139.0899999999999</c:v>
                </c:pt>
                <c:pt idx="60">
                  <c:v>#N/A</c:v>
                </c:pt>
                <c:pt idx="61" formatCode="#,##0.00">
                  <c:v>994.59</c:v>
                </c:pt>
                <c:pt idx="62">
                  <c:v>#N/A</c:v>
                </c:pt>
                <c:pt idx="63">
                  <c:v>#N/A</c:v>
                </c:pt>
                <c:pt idx="64" formatCode="#,##0.00">
                  <c:v>998.35</c:v>
                </c:pt>
                <c:pt idx="65">
                  <c:v>#N/A</c:v>
                </c:pt>
                <c:pt idx="66" formatCode="#,##0.00">
                  <c:v>831.46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 formatCode="#,##0.00">
                  <c:v>945.37</c:v>
                </c:pt>
                <c:pt idx="78">
                  <c:v>#N/A</c:v>
                </c:pt>
                <c:pt idx="79" formatCode="#,##0.00">
                  <c:v>892.15</c:v>
                </c:pt>
                <c:pt idx="80" formatCode="#,##0.00">
                  <c:v>839.02</c:v>
                </c:pt>
                <c:pt idx="81" formatCode="#,##0.00">
                  <c:v>933.97</c:v>
                </c:pt>
                <c:pt idx="82" formatCode="#,##0.00">
                  <c:v>947.64</c:v>
                </c:pt>
                <c:pt idx="83" formatCode="#,##0.00">
                  <c:v>849.89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 formatCode="#,##0.00">
                  <c:v>962.16</c:v>
                </c:pt>
                <c:pt idx="91">
                  <c:v>#N/A</c:v>
                </c:pt>
                <c:pt idx="92" formatCode="#,##0.00">
                  <c:v>963.35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 formatCode="#,##0.00">
                  <c:v>1022.29</c:v>
                </c:pt>
                <c:pt idx="98">
                  <c:v>#N/A</c:v>
                </c:pt>
                <c:pt idx="99">
                  <c:v>#N/A</c:v>
                </c:pt>
                <c:pt idx="100" formatCode="#,##0.00">
                  <c:v>990.09</c:v>
                </c:pt>
                <c:pt idx="101" formatCode="#,##0.00">
                  <c:v>970.53</c:v>
                </c:pt>
                <c:pt idx="102">
                  <c:v>#N/A</c:v>
                </c:pt>
                <c:pt idx="103" formatCode="#,##0.00">
                  <c:v>949.22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 formatCode="#,##0.00">
                  <c:v>1055.69</c:v>
                </c:pt>
                <c:pt idx="114">
                  <c:v>#N/A</c:v>
                </c:pt>
                <c:pt idx="115" formatCode="#,##0.00">
                  <c:v>933.74</c:v>
                </c:pt>
                <c:pt idx="116">
                  <c:v>#N/A</c:v>
                </c:pt>
                <c:pt idx="117" formatCode="#,##0.00">
                  <c:v>812.07</c:v>
                </c:pt>
                <c:pt idx="118" formatCode="#,##0.00">
                  <c:v>952.5</c:v>
                </c:pt>
                <c:pt idx="119">
                  <c:v>#N/A</c:v>
                </c:pt>
                <c:pt idx="120">
                  <c:v>#N/A</c:v>
                </c:pt>
                <c:pt idx="121" formatCode="#,##0.00">
                  <c:v>1154.99</c:v>
                </c:pt>
                <c:pt idx="122">
                  <c:v>#N/A</c:v>
                </c:pt>
                <c:pt idx="123" formatCode="#,##0.00">
                  <c:v>1082.46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 formatCode="#,##0.00">
                  <c:v>1146.1199999999999</c:v>
                </c:pt>
                <c:pt idx="129">
                  <c:v>#N/A</c:v>
                </c:pt>
                <c:pt idx="130" formatCode="#,##0.00">
                  <c:v>1092.69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 formatCode="#,##0.00">
                  <c:v>976.51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 formatCode="#,##0.00">
                  <c:v>965.78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 formatCode="#,##0.00">
                  <c:v>1140.7</c:v>
                </c:pt>
                <c:pt idx="157" formatCode="#,##0.00">
                  <c:v>991.54</c:v>
                </c:pt>
                <c:pt idx="158">
                  <c:v>#N/A</c:v>
                </c:pt>
                <c:pt idx="159" formatCode="#,##0.00">
                  <c:v>1101.0899999999999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 formatCode="#,##0.00">
                  <c:v>1132.8499999999999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 formatCode="#,##0.00">
                  <c:v>813.52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 formatCode="#,##0.00">
                  <c:v>923.28</c:v>
                </c:pt>
                <c:pt idx="175">
                  <c:v>#N/A</c:v>
                </c:pt>
                <c:pt idx="176">
                  <c:v>#N/A</c:v>
                </c:pt>
                <c:pt idx="177" formatCode="#,##0.00">
                  <c:v>821.86</c:v>
                </c:pt>
                <c:pt idx="178" formatCode="#,##0.00">
                  <c:v>830.74</c:v>
                </c:pt>
                <c:pt idx="179">
                  <c:v>#N/A</c:v>
                </c:pt>
                <c:pt idx="180" formatCode="#,##0.00">
                  <c:v>949.77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 formatCode="#,##0.00">
                  <c:v>983.75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 formatCode="#,##0.00">
                  <c:v>912.8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 formatCode="#,##0.00">
                  <c:v>1135.79</c:v>
                </c:pt>
                <c:pt idx="202" formatCode="#,##0.00">
                  <c:v>856.01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 formatCode="#,##0.00">
                  <c:v>908.37</c:v>
                </c:pt>
                <c:pt idx="213" formatCode="#,##0.00">
                  <c:v>995.76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 formatCode="#,##0.00">
                  <c:v>1107.96</c:v>
                </c:pt>
                <c:pt idx="219" formatCode="#,##0.00">
                  <c:v>1082.6300000000001</c:v>
                </c:pt>
                <c:pt idx="220">
                  <c:v>#N/A</c:v>
                </c:pt>
                <c:pt idx="221" formatCode="#,##0.00">
                  <c:v>964.77</c:v>
                </c:pt>
                <c:pt idx="222">
                  <c:v>#N/A</c:v>
                </c:pt>
                <c:pt idx="223" formatCode="#,##0.00">
                  <c:v>995.78</c:v>
                </c:pt>
                <c:pt idx="224">
                  <c:v>#N/A</c:v>
                </c:pt>
                <c:pt idx="225">
                  <c:v>#N/A</c:v>
                </c:pt>
                <c:pt idx="226" formatCode="#,##0.00">
                  <c:v>952.58</c:v>
                </c:pt>
                <c:pt idx="227">
                  <c:v>#N/A</c:v>
                </c:pt>
                <c:pt idx="228" formatCode="#,##0.00">
                  <c:v>984.69</c:v>
                </c:pt>
                <c:pt idx="229" formatCode="#,##0.00">
                  <c:v>955.05</c:v>
                </c:pt>
                <c:pt idx="230" formatCode="#,##0.00">
                  <c:v>967.33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 formatCode="#,##0.00">
                  <c:v>849.82</c:v>
                </c:pt>
                <c:pt idx="236">
                  <c:v>#N/A</c:v>
                </c:pt>
                <c:pt idx="237" formatCode="#,##0.00">
                  <c:v>936.47</c:v>
                </c:pt>
                <c:pt idx="238">
                  <c:v>#N/A</c:v>
                </c:pt>
                <c:pt idx="239" formatCode="#,##0.00">
                  <c:v>888.85</c:v>
                </c:pt>
                <c:pt idx="240">
                  <c:v>#N/A</c:v>
                </c:pt>
                <c:pt idx="241" formatCode="#,##0.00">
                  <c:v>964.83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 formatCode="#,##0.00">
                  <c:v>863.78</c:v>
                </c:pt>
                <c:pt idx="247" formatCode="#,##0.00">
                  <c:v>1057.74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 formatCode="#,##0.00">
                  <c:v>976.9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 formatCode="#,##0.00">
                  <c:v>942.16</c:v>
                </c:pt>
                <c:pt idx="258" formatCode="#,##0.00">
                  <c:v>969.58</c:v>
                </c:pt>
                <c:pt idx="259" formatCode="#,##0.00">
                  <c:v>846.62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 formatCode="#,##0.00">
                  <c:v>825.85</c:v>
                </c:pt>
                <c:pt idx="264">
                  <c:v>#N/A</c:v>
                </c:pt>
                <c:pt idx="265" formatCode="#,##0.00">
                  <c:v>956.08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 formatCode="#,##0.00">
                  <c:v>815.86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 formatCode="#,##0.00">
                  <c:v>958.66</c:v>
                </c:pt>
                <c:pt idx="278">
                  <c:v>#N/A</c:v>
                </c:pt>
                <c:pt idx="279" formatCode="#,##0.00">
                  <c:v>856.84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 formatCode="#,##0.00">
                  <c:v>1072.02</c:v>
                </c:pt>
                <c:pt idx="285">
                  <c:v>#N/A</c:v>
                </c:pt>
                <c:pt idx="286" formatCode="#,##0.00">
                  <c:v>991.83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 formatCode="#,##0.00">
                  <c:v>841.53</c:v>
                </c:pt>
                <c:pt idx="292" formatCode="#,##0.00">
                  <c:v>974.11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 formatCode="#,##0.00">
                  <c:v>1062.58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 formatCode="#,##0.00">
                  <c:v>969.33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 formatCode="#,##0.00">
                  <c:v>1146.6500000000001</c:v>
                </c:pt>
                <c:pt idx="323">
                  <c:v>#N/A</c:v>
                </c:pt>
                <c:pt idx="324">
                  <c:v>#N/A</c:v>
                </c:pt>
                <c:pt idx="325" formatCode="#,##0.00">
                  <c:v>1067.45</c:v>
                </c:pt>
                <c:pt idx="326">
                  <c:v>#N/A</c:v>
                </c:pt>
                <c:pt idx="327" formatCode="#,##0.00">
                  <c:v>984.77</c:v>
                </c:pt>
                <c:pt idx="328">
                  <c:v>#N/A</c:v>
                </c:pt>
                <c:pt idx="329">
                  <c:v>#N/A</c:v>
                </c:pt>
                <c:pt idx="330" formatCode="#,##0.00">
                  <c:v>960.4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 formatCode="#,##0.00">
                  <c:v>949.43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 formatCode="#,##0.00">
                  <c:v>1024.43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 formatCode="#,##0.00">
                  <c:v>943.03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 formatCode="#,##0.00">
                  <c:v>962.85</c:v>
                </c:pt>
                <c:pt idx="360" formatCode="#,##0.00">
                  <c:v>1069.31</c:v>
                </c:pt>
                <c:pt idx="361" formatCode="#,##0.00">
                  <c:v>936.89</c:v>
                </c:pt>
                <c:pt idx="362" formatCode="#,##0.00">
                  <c:v>932.11</c:v>
                </c:pt>
                <c:pt idx="363" formatCode="#,##0.00">
                  <c:v>868.79</c:v>
                </c:pt>
                <c:pt idx="364">
                  <c:v>#N/A</c:v>
                </c:pt>
                <c:pt idx="365" formatCode="#,##0.00">
                  <c:v>979.07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 formatCode="#,##0.00">
                  <c:v>880.36</c:v>
                </c:pt>
                <c:pt idx="370">
                  <c:v>#N/A</c:v>
                </c:pt>
                <c:pt idx="371">
                  <c:v>#N/A</c:v>
                </c:pt>
                <c:pt idx="372" formatCode="#,##0.00">
                  <c:v>857.21</c:v>
                </c:pt>
                <c:pt idx="373">
                  <c:v>#N/A</c:v>
                </c:pt>
                <c:pt idx="374" formatCode="#,##0.00">
                  <c:v>1037.78</c:v>
                </c:pt>
                <c:pt idx="375">
                  <c:v>#N/A</c:v>
                </c:pt>
                <c:pt idx="376" formatCode="#,##0.00">
                  <c:v>895.1</c:v>
                </c:pt>
                <c:pt idx="377">
                  <c:v>#N/A</c:v>
                </c:pt>
                <c:pt idx="378" formatCode="#,##0.00">
                  <c:v>983.91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 formatCode="#,##0.00">
                  <c:v>1003.9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 formatCode="#,##0.00">
                  <c:v>985.6</c:v>
                </c:pt>
                <c:pt idx="393">
                  <c:v>#N/A</c:v>
                </c:pt>
                <c:pt idx="394">
                  <c:v>#N/A</c:v>
                </c:pt>
              </c:numCache>
            </c:numRef>
          </c:xVal>
          <c:yVal>
            <c:numRef>
              <c:f>Datos_Base!$P$2:$P$396</c:f>
              <c:numCache>
                <c:formatCode>General</c:formatCode>
                <c:ptCount val="3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 formatCode="#,##0.00">
                  <c:v>2257.56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 formatCode="#,##0.00">
                  <c:v>1840.76</c:v>
                </c:pt>
                <c:pt idx="15" formatCode="#,##0.00">
                  <c:v>1976.26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 formatCode="#,##0.00">
                  <c:v>2115.37</c:v>
                </c:pt>
                <c:pt idx="26">
                  <c:v>#N/A</c:v>
                </c:pt>
                <c:pt idx="27" formatCode="#,##0.00">
                  <c:v>1633.3</c:v>
                </c:pt>
                <c:pt idx="28">
                  <c:v>#N/A</c:v>
                </c:pt>
                <c:pt idx="29" formatCode="#,##0.00">
                  <c:v>1666.73</c:v>
                </c:pt>
                <c:pt idx="30" formatCode="#,##0.00">
                  <c:v>1740.72</c:v>
                </c:pt>
                <c:pt idx="31">
                  <c:v>#N/A</c:v>
                </c:pt>
                <c:pt idx="32">
                  <c:v>#N/A</c:v>
                </c:pt>
                <c:pt idx="33" formatCode="#,##0.00">
                  <c:v>2225.0300000000002</c:v>
                </c:pt>
                <c:pt idx="34" formatCode="#,##0.00">
                  <c:v>2207.71</c:v>
                </c:pt>
                <c:pt idx="35">
                  <c:v>#N/A</c:v>
                </c:pt>
                <c:pt idx="36">
                  <c:v>#N/A</c:v>
                </c:pt>
                <c:pt idx="37" formatCode="#,##0.00">
                  <c:v>2234.36</c:v>
                </c:pt>
                <c:pt idx="38" formatCode="#,##0.00">
                  <c:v>1915.28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 formatCode="#,##0.00">
                  <c:v>2057.9</c:v>
                </c:pt>
                <c:pt idx="48">
                  <c:v>#N/A</c:v>
                </c:pt>
                <c:pt idx="49">
                  <c:v>#N/A</c:v>
                </c:pt>
                <c:pt idx="50" formatCode="#,##0.00">
                  <c:v>1938.16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 formatCode="#,##0.00">
                  <c:v>2179.62</c:v>
                </c:pt>
                <c:pt idx="60">
                  <c:v>#N/A</c:v>
                </c:pt>
                <c:pt idx="61" formatCode="#,##0.00">
                  <c:v>1953.55</c:v>
                </c:pt>
                <c:pt idx="62">
                  <c:v>#N/A</c:v>
                </c:pt>
                <c:pt idx="63">
                  <c:v>#N/A</c:v>
                </c:pt>
                <c:pt idx="64" formatCode="#,##0.00">
                  <c:v>2002.42</c:v>
                </c:pt>
                <c:pt idx="65">
                  <c:v>#N/A</c:v>
                </c:pt>
                <c:pt idx="66" formatCode="#,##0.00">
                  <c:v>1725.72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 formatCode="#,##0.00">
                  <c:v>1648.79</c:v>
                </c:pt>
                <c:pt idx="78">
                  <c:v>#N/A</c:v>
                </c:pt>
                <c:pt idx="79" formatCode="#,##0.00">
                  <c:v>1945.82</c:v>
                </c:pt>
                <c:pt idx="80" formatCode="#,##0.00">
                  <c:v>1685.55</c:v>
                </c:pt>
                <c:pt idx="81" formatCode="#,##0.00">
                  <c:v>1807.72</c:v>
                </c:pt>
                <c:pt idx="82" formatCode="#,##0.00">
                  <c:v>1749.69</c:v>
                </c:pt>
                <c:pt idx="83" formatCode="#,##0.00">
                  <c:v>1888.96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 formatCode="#,##0.00">
                  <c:v>1870.24</c:v>
                </c:pt>
                <c:pt idx="91">
                  <c:v>#N/A</c:v>
                </c:pt>
                <c:pt idx="92" formatCode="#,##0.00">
                  <c:v>1756.6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 formatCode="#,##0.00">
                  <c:v>2190.62</c:v>
                </c:pt>
                <c:pt idx="98">
                  <c:v>#N/A</c:v>
                </c:pt>
                <c:pt idx="99">
                  <c:v>#N/A</c:v>
                </c:pt>
                <c:pt idx="100" formatCode="#,##0.00">
                  <c:v>2009.17</c:v>
                </c:pt>
                <c:pt idx="101" formatCode="#,##0.00">
                  <c:v>1954.26</c:v>
                </c:pt>
                <c:pt idx="102">
                  <c:v>#N/A</c:v>
                </c:pt>
                <c:pt idx="103" formatCode="#,##0.00">
                  <c:v>1777.97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 formatCode="#,##0.00">
                  <c:v>2284.77</c:v>
                </c:pt>
                <c:pt idx="114">
                  <c:v>#N/A</c:v>
                </c:pt>
                <c:pt idx="115" formatCode="#,##0.00">
                  <c:v>1873.51</c:v>
                </c:pt>
                <c:pt idx="116">
                  <c:v>#N/A</c:v>
                </c:pt>
                <c:pt idx="117" formatCode="#,##0.00">
                  <c:v>1625.39</c:v>
                </c:pt>
                <c:pt idx="118" formatCode="#,##0.00">
                  <c:v>1945.47</c:v>
                </c:pt>
                <c:pt idx="119">
                  <c:v>#N/A</c:v>
                </c:pt>
                <c:pt idx="120">
                  <c:v>#N/A</c:v>
                </c:pt>
                <c:pt idx="121" formatCode="#,##0.00">
                  <c:v>2068.84</c:v>
                </c:pt>
                <c:pt idx="122">
                  <c:v>#N/A</c:v>
                </c:pt>
                <c:pt idx="123" formatCode="#,##0.00">
                  <c:v>2299.5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 formatCode="#,##0.00">
                  <c:v>2142.0500000000002</c:v>
                </c:pt>
                <c:pt idx="129">
                  <c:v>#N/A</c:v>
                </c:pt>
                <c:pt idx="130" formatCode="#,##0.00">
                  <c:v>2299.06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 formatCode="#,##0.00">
                  <c:v>1979.31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 formatCode="#,##0.00">
                  <c:v>1913.95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 formatCode="#,##0.00">
                  <c:v>2137.9</c:v>
                </c:pt>
                <c:pt idx="157" formatCode="#,##0.00">
                  <c:v>2181.83</c:v>
                </c:pt>
                <c:pt idx="158">
                  <c:v>#N/A</c:v>
                </c:pt>
                <c:pt idx="159" formatCode="#,##0.00">
                  <c:v>2200.2800000000002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 formatCode="#,##0.00">
                  <c:v>1936.41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 formatCode="#,##0.00">
                  <c:v>1844.64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 formatCode="#,##0.00">
                  <c:v>1765.85</c:v>
                </c:pt>
                <c:pt idx="175">
                  <c:v>#N/A</c:v>
                </c:pt>
                <c:pt idx="176">
                  <c:v>#N/A</c:v>
                </c:pt>
                <c:pt idx="177" formatCode="#,##0.00">
                  <c:v>1726.91</c:v>
                </c:pt>
                <c:pt idx="178" formatCode="#,##0.00">
                  <c:v>1685.4</c:v>
                </c:pt>
                <c:pt idx="179">
                  <c:v>#N/A</c:v>
                </c:pt>
                <c:pt idx="180" formatCode="#,##0.00">
                  <c:v>1920.34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 formatCode="#,##0.00">
                  <c:v>2027.2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 formatCode="#,##0.00">
                  <c:v>1726.93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 formatCode="#,##0.00">
                  <c:v>1946.95</c:v>
                </c:pt>
                <c:pt idx="202" formatCode="#,##0.00">
                  <c:v>1624.19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 formatCode="#,##0.00">
                  <c:v>1943.18</c:v>
                </c:pt>
                <c:pt idx="213" formatCode="#,##0.00">
                  <c:v>1931.82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 formatCode="#,##0.00">
                  <c:v>2210.59</c:v>
                </c:pt>
                <c:pt idx="219" formatCode="#,##0.00">
                  <c:v>2089.8200000000002</c:v>
                </c:pt>
                <c:pt idx="220">
                  <c:v>#N/A</c:v>
                </c:pt>
                <c:pt idx="221" formatCode="#,##0.00">
                  <c:v>1778.96</c:v>
                </c:pt>
                <c:pt idx="222">
                  <c:v>#N/A</c:v>
                </c:pt>
                <c:pt idx="223" formatCode="#,##0.00">
                  <c:v>2187.89</c:v>
                </c:pt>
                <c:pt idx="224">
                  <c:v>#N/A</c:v>
                </c:pt>
                <c:pt idx="225">
                  <c:v>#N/A</c:v>
                </c:pt>
                <c:pt idx="226" formatCode="#,##0.00">
                  <c:v>1704.46</c:v>
                </c:pt>
                <c:pt idx="227">
                  <c:v>#N/A</c:v>
                </c:pt>
                <c:pt idx="228" formatCode="#,##0.00">
                  <c:v>1647.84</c:v>
                </c:pt>
                <c:pt idx="229" formatCode="#,##0.00">
                  <c:v>1972.51</c:v>
                </c:pt>
                <c:pt idx="230" formatCode="#,##0.00">
                  <c:v>1973.65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 formatCode="#,##0.00">
                  <c:v>1791.58</c:v>
                </c:pt>
                <c:pt idx="236">
                  <c:v>#N/A</c:v>
                </c:pt>
                <c:pt idx="237" formatCode="#,##0.00">
                  <c:v>1767.61</c:v>
                </c:pt>
                <c:pt idx="238">
                  <c:v>#N/A</c:v>
                </c:pt>
                <c:pt idx="239" formatCode="#,##0.00">
                  <c:v>1715.55</c:v>
                </c:pt>
                <c:pt idx="240">
                  <c:v>#N/A</c:v>
                </c:pt>
                <c:pt idx="241" formatCode="#,##0.00">
                  <c:v>1693.13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 formatCode="#,##0.00">
                  <c:v>1859.02</c:v>
                </c:pt>
                <c:pt idx="247" formatCode="#,##0.00">
                  <c:v>1911.89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 formatCode="#,##0.00">
                  <c:v>2243.35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 formatCode="#,##0.00">
                  <c:v>1881.94</c:v>
                </c:pt>
                <c:pt idx="258" formatCode="#,##0.00">
                  <c:v>2259.21</c:v>
                </c:pt>
                <c:pt idx="259" formatCode="#,##0.00">
                  <c:v>1765.34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 formatCode="#,##0.00">
                  <c:v>1766.56</c:v>
                </c:pt>
                <c:pt idx="264">
                  <c:v>#N/A</c:v>
                </c:pt>
                <c:pt idx="265" formatCode="#,##0.00">
                  <c:v>2017.25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 formatCode="#,##0.00">
                  <c:v>1787.74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 formatCode="#,##0.00">
                  <c:v>1827.06</c:v>
                </c:pt>
                <c:pt idx="278">
                  <c:v>#N/A</c:v>
                </c:pt>
                <c:pt idx="279" formatCode="#,##0.00">
                  <c:v>1659.03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 formatCode="#,##0.00">
                  <c:v>2214.04</c:v>
                </c:pt>
                <c:pt idx="285">
                  <c:v>#N/A</c:v>
                </c:pt>
                <c:pt idx="286" formatCode="#,##0.00">
                  <c:v>2189.5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 formatCode="#,##0.00">
                  <c:v>1635.93</c:v>
                </c:pt>
                <c:pt idx="292" formatCode="#,##0.00">
                  <c:v>1976.61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 formatCode="#,##0.00">
                  <c:v>2171.6999999999998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 formatCode="#,##0.00">
                  <c:v>2074.1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 formatCode="#,##0.00">
                  <c:v>1940.63</c:v>
                </c:pt>
                <c:pt idx="323">
                  <c:v>#N/A</c:v>
                </c:pt>
                <c:pt idx="324">
                  <c:v>#N/A</c:v>
                </c:pt>
                <c:pt idx="325" formatCode="#,##0.00">
                  <c:v>2186.39</c:v>
                </c:pt>
                <c:pt idx="326">
                  <c:v>#N/A</c:v>
                </c:pt>
                <c:pt idx="327" formatCode="#,##0.00">
                  <c:v>1652.02</c:v>
                </c:pt>
                <c:pt idx="328">
                  <c:v>#N/A</c:v>
                </c:pt>
                <c:pt idx="329">
                  <c:v>#N/A</c:v>
                </c:pt>
                <c:pt idx="330" formatCode="#,##0.00">
                  <c:v>1896.04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 formatCode="#,##0.00">
                  <c:v>1730.3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 formatCode="#,##0.00">
                  <c:v>2038.21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 formatCode="#,##0.00">
                  <c:v>1922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 formatCode="#,##0.00">
                  <c:v>1981.77</c:v>
                </c:pt>
                <c:pt idx="360" formatCode="#,##0.00">
                  <c:v>1973.14</c:v>
                </c:pt>
                <c:pt idx="361" formatCode="#,##0.00">
                  <c:v>1740.81</c:v>
                </c:pt>
                <c:pt idx="362" formatCode="#,##0.00">
                  <c:v>1876.41</c:v>
                </c:pt>
                <c:pt idx="363" formatCode="#,##0.00">
                  <c:v>1763.56</c:v>
                </c:pt>
                <c:pt idx="364">
                  <c:v>#N/A</c:v>
                </c:pt>
                <c:pt idx="365" formatCode="#,##0.00">
                  <c:v>1798.21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 formatCode="#,##0.00">
                  <c:v>1776.4</c:v>
                </c:pt>
                <c:pt idx="370">
                  <c:v>#N/A</c:v>
                </c:pt>
                <c:pt idx="371">
                  <c:v>#N/A</c:v>
                </c:pt>
                <c:pt idx="372" formatCode="#,##0.00">
                  <c:v>1892.72</c:v>
                </c:pt>
                <c:pt idx="373">
                  <c:v>#N/A</c:v>
                </c:pt>
                <c:pt idx="374" formatCode="#,##0.00">
                  <c:v>2255.9299999999998</c:v>
                </c:pt>
                <c:pt idx="375">
                  <c:v>#N/A</c:v>
                </c:pt>
                <c:pt idx="376" formatCode="#,##0.00">
                  <c:v>1962</c:v>
                </c:pt>
                <c:pt idx="377">
                  <c:v>#N/A</c:v>
                </c:pt>
                <c:pt idx="378" formatCode="#,##0.00">
                  <c:v>2281.77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 formatCode="#,##0.00">
                  <c:v>1926.77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 formatCode="#,##0.00">
                  <c:v>1634.97</c:v>
                </c:pt>
                <c:pt idx="393">
                  <c:v>#N/A</c:v>
                </c:pt>
                <c:pt idx="39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C0-439D-9B9E-E979F9DD7FCE}"/>
            </c:ext>
          </c:extLst>
        </c:ser>
        <c:ser>
          <c:idx val="3"/>
          <c:order val="3"/>
          <c:tx>
            <c:v>Capilar</c:v>
          </c:tx>
          <c:spPr>
            <a:ln w="28440">
              <a:noFill/>
            </a:ln>
          </c:spPr>
          <c:marker>
            <c:symbol val="circle"/>
            <c:size val="6"/>
            <c:spPr>
              <a:solidFill>
                <a:srgbClr val="E8A33D"/>
              </a:solidFill>
              <a:ln>
                <a:solidFill>
                  <a:srgbClr val="E8A33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Datos_Base!$S$2:$S$396</c:f>
              <c:numCache>
                <c:formatCode>General</c:formatCode>
                <c:ptCount val="3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 formatCode="#,##0.00">
                  <c:v>485.58</c:v>
                </c:pt>
                <c:pt idx="5">
                  <c:v>#N/A</c:v>
                </c:pt>
                <c:pt idx="6">
                  <c:v>#N/A</c:v>
                </c:pt>
                <c:pt idx="7" formatCode="#,##0.00">
                  <c:v>519.34</c:v>
                </c:pt>
                <c:pt idx="8">
                  <c:v>#N/A</c:v>
                </c:pt>
                <c:pt idx="9">
                  <c:v>#N/A</c:v>
                </c:pt>
                <c:pt idx="10" formatCode="#,##0.00">
                  <c:v>437.98</c:v>
                </c:pt>
                <c:pt idx="11">
                  <c:v>#N/A</c:v>
                </c:pt>
                <c:pt idx="12" formatCode="#,##0.00">
                  <c:v>513.62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 formatCode="#,##0.00">
                  <c:v>448.32</c:v>
                </c:pt>
                <c:pt idx="19">
                  <c:v>#N/A</c:v>
                </c:pt>
                <c:pt idx="20">
                  <c:v>#N/A</c:v>
                </c:pt>
                <c:pt idx="21" formatCode="#,##0.00">
                  <c:v>510.92</c:v>
                </c:pt>
                <c:pt idx="22" formatCode="#,##0.00">
                  <c:v>560.87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 formatCode="#,##0.00">
                  <c:v>612.66999999999996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 formatCode="#,##0.00">
                  <c:v>550.61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 formatCode="#,##0.00">
                  <c:v>532.64</c:v>
                </c:pt>
                <c:pt idx="44">
                  <c:v>#N/A</c:v>
                </c:pt>
                <c:pt idx="45">
                  <c:v>#N/A</c:v>
                </c:pt>
                <c:pt idx="46" formatCode="#,##0.00">
                  <c:v>457.94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 formatCode="#,##0.00">
                  <c:v>532.80999999999995</c:v>
                </c:pt>
                <c:pt idx="52" formatCode="#,##0.00">
                  <c:v>502.96</c:v>
                </c:pt>
                <c:pt idx="53">
                  <c:v>#N/A</c:v>
                </c:pt>
                <c:pt idx="54" formatCode="#,##0.00">
                  <c:v>489.23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 formatCode="#,##0.00">
                  <c:v>527.67999999999995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 formatCode="#,##0.00">
                  <c:v>544.16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 formatCode="#,##0.00">
                  <c:v>593.77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 formatCode="#,##0.00">
                  <c:v>461.54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 formatCode="#,##0.00">
                  <c:v>444.18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 formatCode="#,##0.00">
                  <c:v>514.02</c:v>
                </c:pt>
                <c:pt idx="107">
                  <c:v>#N/A</c:v>
                </c:pt>
                <c:pt idx="108">
                  <c:v>#N/A</c:v>
                </c:pt>
                <c:pt idx="109" formatCode="#,##0.00">
                  <c:v>562.04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 formatCode="#,##0.00">
                  <c:v>595.24</c:v>
                </c:pt>
                <c:pt idx="115">
                  <c:v>#N/A</c:v>
                </c:pt>
                <c:pt idx="116" formatCode="#,##0.00">
                  <c:v>513.57000000000005</c:v>
                </c:pt>
                <c:pt idx="117">
                  <c:v>#N/A</c:v>
                </c:pt>
                <c:pt idx="118">
                  <c:v>#N/A</c:v>
                </c:pt>
                <c:pt idx="119" formatCode="#,##0.00">
                  <c:v>587.09</c:v>
                </c:pt>
                <c:pt idx="120">
                  <c:v>#N/A</c:v>
                </c:pt>
                <c:pt idx="121">
                  <c:v>#N/A</c:v>
                </c:pt>
                <c:pt idx="122" formatCode="#,##0.00">
                  <c:v>527.6</c:v>
                </c:pt>
                <c:pt idx="123">
                  <c:v>#N/A</c:v>
                </c:pt>
                <c:pt idx="124">
                  <c:v>#N/A</c:v>
                </c:pt>
                <c:pt idx="125" formatCode="#,##0.00">
                  <c:v>486.37</c:v>
                </c:pt>
                <c:pt idx="126" formatCode="#,##0.00">
                  <c:v>469.17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 formatCode="#,##0.00">
                  <c:v>584.89</c:v>
                </c:pt>
                <c:pt idx="134" formatCode="#,##0.00">
                  <c:v>509.43</c:v>
                </c:pt>
                <c:pt idx="135">
                  <c:v>#N/A</c:v>
                </c:pt>
                <c:pt idx="136" formatCode="#,##0.00">
                  <c:v>574.87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 formatCode="#,##0.00">
                  <c:v>448.18</c:v>
                </c:pt>
                <c:pt idx="141">
                  <c:v>#N/A</c:v>
                </c:pt>
                <c:pt idx="142" formatCode="#,##0.00">
                  <c:v>557.48</c:v>
                </c:pt>
                <c:pt idx="143">
                  <c:v>#N/A</c:v>
                </c:pt>
                <c:pt idx="144" formatCode="#,##0.00">
                  <c:v>510.37</c:v>
                </c:pt>
                <c:pt idx="145">
                  <c:v>#N/A</c:v>
                </c:pt>
                <c:pt idx="146" formatCode="#,##0.00">
                  <c:v>553.62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 formatCode="#,##0.00">
                  <c:v>562.34</c:v>
                </c:pt>
                <c:pt idx="159">
                  <c:v>#N/A</c:v>
                </c:pt>
                <c:pt idx="160">
                  <c:v>#N/A</c:v>
                </c:pt>
                <c:pt idx="161" formatCode="#,##0.00">
                  <c:v>543.49</c:v>
                </c:pt>
                <c:pt idx="162" formatCode="#,##0.00">
                  <c:v>593.92999999999995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 formatCode="#,##0.00">
                  <c:v>549.26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 formatCode="#,##0.00">
                  <c:v>480.3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 formatCode="#,##0.00">
                  <c:v>489.47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 formatCode="#,##0.00">
                  <c:v>524.98</c:v>
                </c:pt>
                <c:pt idx="198" formatCode="#,##0.00">
                  <c:v>564.62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 formatCode="#,##0.00">
                  <c:v>448.75</c:v>
                </c:pt>
                <c:pt idx="216" formatCode="#,##0.00">
                  <c:v>567.17999999999995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 formatCode="#,##0.00">
                  <c:v>432.5</c:v>
                </c:pt>
                <c:pt idx="232">
                  <c:v>#N/A</c:v>
                </c:pt>
                <c:pt idx="233">
                  <c:v>#N/A</c:v>
                </c:pt>
                <c:pt idx="234" formatCode="#,##0.00">
                  <c:v>497.01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 formatCode="#,##0.00">
                  <c:v>475.13</c:v>
                </c:pt>
                <c:pt idx="239">
                  <c:v>#N/A</c:v>
                </c:pt>
                <c:pt idx="240" formatCode="#,##0.00">
                  <c:v>588.35</c:v>
                </c:pt>
                <c:pt idx="241">
                  <c:v>#N/A</c:v>
                </c:pt>
                <c:pt idx="242" formatCode="#,##0.00">
                  <c:v>550.47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 formatCode="#,##0.00">
                  <c:v>526.83000000000004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 formatCode="#,##0.00">
                  <c:v>464.89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 formatCode="#,##0.00">
                  <c:v>614.72</c:v>
                </c:pt>
                <c:pt idx="272" formatCode="#,##0.00">
                  <c:v>586.5</c:v>
                </c:pt>
                <c:pt idx="273" formatCode="#,##0.00">
                  <c:v>474.63</c:v>
                </c:pt>
                <c:pt idx="274" formatCode="#,##0.00">
                  <c:v>510.38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 formatCode="#,##0.00">
                  <c:v>447.93</c:v>
                </c:pt>
                <c:pt idx="283" formatCode="#,##0.00">
                  <c:v>515.04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 formatCode="#,##0.00">
                  <c:v>612.54999999999995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 formatCode="#,##0.00">
                  <c:v>576.64</c:v>
                </c:pt>
                <c:pt idx="301" formatCode="#,##0.00">
                  <c:v>460.16</c:v>
                </c:pt>
                <c:pt idx="302" formatCode="#,##0.00">
                  <c:v>557.01</c:v>
                </c:pt>
                <c:pt idx="303">
                  <c:v>#N/A</c:v>
                </c:pt>
                <c:pt idx="304" formatCode="#,##0.00">
                  <c:v>492.62</c:v>
                </c:pt>
                <c:pt idx="305" formatCode="#,##0.00">
                  <c:v>610.17999999999995</c:v>
                </c:pt>
                <c:pt idx="306">
                  <c:v>#N/A</c:v>
                </c:pt>
                <c:pt idx="307" formatCode="#,##0.00">
                  <c:v>534.63</c:v>
                </c:pt>
                <c:pt idx="308">
                  <c:v>#N/A</c:v>
                </c:pt>
                <c:pt idx="309">
                  <c:v>#N/A</c:v>
                </c:pt>
                <c:pt idx="310" formatCode="#,##0.00">
                  <c:v>488.03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 formatCode="#,##0.00">
                  <c:v>533.79999999999995</c:v>
                </c:pt>
                <c:pt idx="315" formatCode="#,##0.00">
                  <c:v>482.38</c:v>
                </c:pt>
                <c:pt idx="316" formatCode="#,##0.00">
                  <c:v>554.74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 formatCode="#,##0.00">
                  <c:v>475.43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 formatCode="#,##0.00">
                  <c:v>575.66</c:v>
                </c:pt>
                <c:pt idx="329" formatCode="#,##0.00">
                  <c:v>542.65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 formatCode="#,##0.00">
                  <c:v>573.71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 formatCode="#,##0.00">
                  <c:v>509.14</c:v>
                </c:pt>
                <c:pt idx="339">
                  <c:v>#N/A</c:v>
                </c:pt>
                <c:pt idx="340">
                  <c:v>#N/A</c:v>
                </c:pt>
                <c:pt idx="341" formatCode="#,##0.00">
                  <c:v>609.61</c:v>
                </c:pt>
                <c:pt idx="342" formatCode="#,##0.00">
                  <c:v>444.44</c:v>
                </c:pt>
                <c:pt idx="343" formatCode="#,##0.00">
                  <c:v>572.91999999999996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 formatCode="#,##0.00">
                  <c:v>597.78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 formatCode="#,##0.00">
                  <c:v>449.6</c:v>
                </c:pt>
                <c:pt idx="355">
                  <c:v>#N/A</c:v>
                </c:pt>
                <c:pt idx="356">
                  <c:v>#N/A</c:v>
                </c:pt>
                <c:pt idx="357" formatCode="#,##0.00">
                  <c:v>432.17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 formatCode="#,##0.00">
                  <c:v>501.13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 formatCode="#,##0.00">
                  <c:v>577.94000000000005</c:v>
                </c:pt>
                <c:pt idx="371" formatCode="#,##0.00">
                  <c:v>521.17999999999995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 formatCode="#,##0.00">
                  <c:v>435.19</c:v>
                </c:pt>
                <c:pt idx="378">
                  <c:v>#N/A</c:v>
                </c:pt>
                <c:pt idx="379">
                  <c:v>#N/A</c:v>
                </c:pt>
                <c:pt idx="380" formatCode="#,##0.00">
                  <c:v>556.6</c:v>
                </c:pt>
                <c:pt idx="381">
                  <c:v>#N/A</c:v>
                </c:pt>
                <c:pt idx="382" formatCode="#,##0.00">
                  <c:v>603.24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</c:numCache>
            </c:numRef>
          </c:xVal>
          <c:yVal>
            <c:numRef>
              <c:f>Datos_Base!$R$2:$R$396</c:f>
              <c:numCache>
                <c:formatCode>General</c:formatCode>
                <c:ptCount val="3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 formatCode="#,##0.00">
                  <c:v>869.75</c:v>
                </c:pt>
                <c:pt idx="5">
                  <c:v>#N/A</c:v>
                </c:pt>
                <c:pt idx="6">
                  <c:v>#N/A</c:v>
                </c:pt>
                <c:pt idx="7" formatCode="#,##0.00">
                  <c:v>1051.1199999999999</c:v>
                </c:pt>
                <c:pt idx="8">
                  <c:v>#N/A</c:v>
                </c:pt>
                <c:pt idx="9">
                  <c:v>#N/A</c:v>
                </c:pt>
                <c:pt idx="10" formatCode="#,##0.00">
                  <c:v>975.52</c:v>
                </c:pt>
                <c:pt idx="11">
                  <c:v>#N/A</c:v>
                </c:pt>
                <c:pt idx="12" formatCode="#,##0.00">
                  <c:v>1096.44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 formatCode="#,##0.00">
                  <c:v>992.71</c:v>
                </c:pt>
                <c:pt idx="19">
                  <c:v>#N/A</c:v>
                </c:pt>
                <c:pt idx="20">
                  <c:v>#N/A</c:v>
                </c:pt>
                <c:pt idx="21" formatCode="#,##0.00">
                  <c:v>1016.47</c:v>
                </c:pt>
                <c:pt idx="22" formatCode="#,##0.00">
                  <c:v>1167.6199999999999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 formatCode="#,##0.00">
                  <c:v>1185.52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 formatCode="#,##0.00">
                  <c:v>1149.98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 formatCode="#,##0.00">
                  <c:v>1051.98</c:v>
                </c:pt>
                <c:pt idx="44">
                  <c:v>#N/A</c:v>
                </c:pt>
                <c:pt idx="45">
                  <c:v>#N/A</c:v>
                </c:pt>
                <c:pt idx="46" formatCode="#,##0.00">
                  <c:v>894.9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 formatCode="#,##0.00">
                  <c:v>1082.4000000000001</c:v>
                </c:pt>
                <c:pt idx="52" formatCode="#,##0.00">
                  <c:v>1006.44</c:v>
                </c:pt>
                <c:pt idx="53">
                  <c:v>#N/A</c:v>
                </c:pt>
                <c:pt idx="54" formatCode="#,##0.00">
                  <c:v>859.49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 formatCode="#,##0.00">
                  <c:v>1019.21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 formatCode="#,##0.00">
                  <c:v>1004.77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 formatCode="#,##0.00">
                  <c:v>993.1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 formatCode="#,##0.00">
                  <c:v>963.36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 formatCode="#,##0.00">
                  <c:v>1034.3399999999999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 formatCode="#,##0.00">
                  <c:v>857.4</c:v>
                </c:pt>
                <c:pt idx="107">
                  <c:v>#N/A</c:v>
                </c:pt>
                <c:pt idx="108">
                  <c:v>#N/A</c:v>
                </c:pt>
                <c:pt idx="109" formatCode="#,##0.00">
                  <c:v>1178.8800000000001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 formatCode="#,##0.00">
                  <c:v>1148.56</c:v>
                </c:pt>
                <c:pt idx="115">
                  <c:v>#N/A</c:v>
                </c:pt>
                <c:pt idx="116" formatCode="#,##0.00">
                  <c:v>1127.1400000000001</c:v>
                </c:pt>
                <c:pt idx="117">
                  <c:v>#N/A</c:v>
                </c:pt>
                <c:pt idx="118">
                  <c:v>#N/A</c:v>
                </c:pt>
                <c:pt idx="119" formatCode="#,##0.00">
                  <c:v>1106.78</c:v>
                </c:pt>
                <c:pt idx="120">
                  <c:v>#N/A</c:v>
                </c:pt>
                <c:pt idx="121">
                  <c:v>#N/A</c:v>
                </c:pt>
                <c:pt idx="122" formatCode="#,##0.00">
                  <c:v>1159.53</c:v>
                </c:pt>
                <c:pt idx="123">
                  <c:v>#N/A</c:v>
                </c:pt>
                <c:pt idx="124">
                  <c:v>#N/A</c:v>
                </c:pt>
                <c:pt idx="125" formatCode="#,##0.00">
                  <c:v>858.87</c:v>
                </c:pt>
                <c:pt idx="126" formatCode="#,##0.00">
                  <c:v>857.68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 formatCode="#,##0.00">
                  <c:v>1163.29</c:v>
                </c:pt>
                <c:pt idx="134" formatCode="#,##0.00">
                  <c:v>871.66</c:v>
                </c:pt>
                <c:pt idx="135">
                  <c:v>#N/A</c:v>
                </c:pt>
                <c:pt idx="136" formatCode="#,##0.00">
                  <c:v>1013.35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 formatCode="#,##0.00">
                  <c:v>946.45</c:v>
                </c:pt>
                <c:pt idx="141">
                  <c:v>#N/A</c:v>
                </c:pt>
                <c:pt idx="142" formatCode="#,##0.00">
                  <c:v>1171.07</c:v>
                </c:pt>
                <c:pt idx="143">
                  <c:v>#N/A</c:v>
                </c:pt>
                <c:pt idx="144" formatCode="#,##0.00">
                  <c:v>1205.3</c:v>
                </c:pt>
                <c:pt idx="145">
                  <c:v>#N/A</c:v>
                </c:pt>
                <c:pt idx="146" formatCode="#,##0.00">
                  <c:v>1102.3699999999999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 formatCode="#,##0.00">
                  <c:v>1157.83</c:v>
                </c:pt>
                <c:pt idx="159">
                  <c:v>#N/A</c:v>
                </c:pt>
                <c:pt idx="160">
                  <c:v>#N/A</c:v>
                </c:pt>
                <c:pt idx="161" formatCode="#,##0.00">
                  <c:v>1053.3699999999999</c:v>
                </c:pt>
                <c:pt idx="162" formatCode="#,##0.00">
                  <c:v>1108.1099999999999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 formatCode="#,##0.00">
                  <c:v>1107.6300000000001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 formatCode="#,##0.00">
                  <c:v>919.66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 formatCode="#,##0.00">
                  <c:v>981.64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 formatCode="#,##0.00">
                  <c:v>898.18</c:v>
                </c:pt>
                <c:pt idx="198" formatCode="#,##0.00">
                  <c:v>1090.79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 formatCode="#,##0.00">
                  <c:v>1007.07</c:v>
                </c:pt>
                <c:pt idx="216" formatCode="#,##0.00">
                  <c:v>1193.56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 formatCode="#,##0.00">
                  <c:v>1044.69</c:v>
                </c:pt>
                <c:pt idx="232">
                  <c:v>#N/A</c:v>
                </c:pt>
                <c:pt idx="233">
                  <c:v>#N/A</c:v>
                </c:pt>
                <c:pt idx="234" formatCode="#,##0.00">
                  <c:v>971.43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 formatCode="#,##0.00">
                  <c:v>987.05</c:v>
                </c:pt>
                <c:pt idx="239">
                  <c:v>#N/A</c:v>
                </c:pt>
                <c:pt idx="240" formatCode="#,##0.00">
                  <c:v>999.19</c:v>
                </c:pt>
                <c:pt idx="241">
                  <c:v>#N/A</c:v>
                </c:pt>
                <c:pt idx="242" formatCode="#,##0.00">
                  <c:v>1174.71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 formatCode="#,##0.00">
                  <c:v>1150.1199999999999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 formatCode="#,##0.00">
                  <c:v>1002.04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 formatCode="#,##0.00">
                  <c:v>1101.49</c:v>
                </c:pt>
                <c:pt idx="272" formatCode="#,##0.00">
                  <c:v>1134.57</c:v>
                </c:pt>
                <c:pt idx="273" formatCode="#,##0.00">
                  <c:v>973.56</c:v>
                </c:pt>
                <c:pt idx="274" formatCode="#,##0.00">
                  <c:v>1204.76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 formatCode="#,##0.00">
                  <c:v>1031.71</c:v>
                </c:pt>
                <c:pt idx="283" formatCode="#,##0.00">
                  <c:v>919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 formatCode="#,##0.00">
                  <c:v>1084.8900000000001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 formatCode="#,##0.00">
                  <c:v>1124.42</c:v>
                </c:pt>
                <c:pt idx="301" formatCode="#,##0.00">
                  <c:v>972.56</c:v>
                </c:pt>
                <c:pt idx="302" formatCode="#,##0.00">
                  <c:v>1134.3</c:v>
                </c:pt>
                <c:pt idx="303">
                  <c:v>#N/A</c:v>
                </c:pt>
                <c:pt idx="304" formatCode="#,##0.00">
                  <c:v>1002.51</c:v>
                </c:pt>
                <c:pt idx="305" formatCode="#,##0.00">
                  <c:v>1026.6199999999999</c:v>
                </c:pt>
                <c:pt idx="306">
                  <c:v>#N/A</c:v>
                </c:pt>
                <c:pt idx="307" formatCode="#,##0.00">
                  <c:v>1141.26</c:v>
                </c:pt>
                <c:pt idx="308">
                  <c:v>#N/A</c:v>
                </c:pt>
                <c:pt idx="309">
                  <c:v>#N/A</c:v>
                </c:pt>
                <c:pt idx="310" formatCode="#,##0.00">
                  <c:v>871.9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 formatCode="#,##0.00">
                  <c:v>1031.97</c:v>
                </c:pt>
                <c:pt idx="315" formatCode="#,##0.00">
                  <c:v>1034.3</c:v>
                </c:pt>
                <c:pt idx="316" formatCode="#,##0.00">
                  <c:v>1006.38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 formatCode="#,##0.00">
                  <c:v>966.26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 formatCode="#,##0.00">
                  <c:v>1209.49</c:v>
                </c:pt>
                <c:pt idx="329" formatCode="#,##0.00">
                  <c:v>1109.44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 formatCode="#,##0.00">
                  <c:v>1169.22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 formatCode="#,##0.00">
                  <c:v>867.67</c:v>
                </c:pt>
                <c:pt idx="339">
                  <c:v>#N/A</c:v>
                </c:pt>
                <c:pt idx="340">
                  <c:v>#N/A</c:v>
                </c:pt>
                <c:pt idx="341" formatCode="#,##0.00">
                  <c:v>1010.17</c:v>
                </c:pt>
                <c:pt idx="342" formatCode="#,##0.00">
                  <c:v>994.46</c:v>
                </c:pt>
                <c:pt idx="343" formatCode="#,##0.00">
                  <c:v>1204.77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 formatCode="#,##0.00">
                  <c:v>1154.76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 formatCode="#,##0.00">
                  <c:v>1006.09</c:v>
                </c:pt>
                <c:pt idx="355">
                  <c:v>#N/A</c:v>
                </c:pt>
                <c:pt idx="356">
                  <c:v>#N/A</c:v>
                </c:pt>
                <c:pt idx="357" formatCode="#,##0.00">
                  <c:v>947.8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 formatCode="#,##0.00">
                  <c:v>994.35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 formatCode="#,##0.00">
                  <c:v>1129.33</c:v>
                </c:pt>
                <c:pt idx="371" formatCode="#,##0.00">
                  <c:v>1036.55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 formatCode="#,##0.00">
                  <c:v>1009.84</c:v>
                </c:pt>
                <c:pt idx="378">
                  <c:v>#N/A</c:v>
                </c:pt>
                <c:pt idx="379">
                  <c:v>#N/A</c:v>
                </c:pt>
                <c:pt idx="380" formatCode="#,##0.00">
                  <c:v>1081.5899999999999</c:v>
                </c:pt>
                <c:pt idx="381">
                  <c:v>#N/A</c:v>
                </c:pt>
                <c:pt idx="382" formatCode="#,##0.00">
                  <c:v>1025.67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C0-439D-9B9E-E979F9DD7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9154"/>
        <c:axId val="17345692"/>
      </c:scatterChart>
      <c:valAx>
        <c:axId val="42191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900" b="0" strike="noStrike" spc="-1">
                    <a:solidFill>
                      <a:srgbClr val="7F7F7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Precio unitario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D6DCE4"/>
            </a:solidFill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7F7F7F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7345692"/>
        <c:crosses val="autoZero"/>
        <c:crossBetween val="midCat"/>
      </c:valAx>
      <c:valAx>
        <c:axId val="17345692"/>
        <c:scaling>
          <c:orientation val="minMax"/>
        </c:scaling>
        <c:delete val="0"/>
        <c:axPos val="l"/>
        <c:majorGridlines>
          <c:spPr>
            <a:ln w="3175">
              <a:solidFill>
                <a:srgbClr val="EDEFF2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solidFill>
                      <a:srgbClr val="7F7F7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Costo unitario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D6DCE4"/>
            </a:solidFill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7F7F7F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421915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33333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6DCE4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12</xdr:col>
      <xdr:colOff>114300</xdr:colOff>
      <xdr:row>13</xdr:row>
      <xdr:rowOff>0</xdr:rowOff>
    </xdr:from>
    <xdr:to>
      <xdr:col>15</xdr:col>
      <xdr:colOff>742950</xdr:colOff>
      <xdr:row>23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Mes">
              <a:extLst>
                <a:ext uri="{FF2B5EF4-FFF2-40B4-BE49-F238E27FC236}">
                  <a16:creationId xmlns:a16="http://schemas.microsoft.com/office/drawing/2014/main" id="{2DFD2CBF-7A86-40B1-98FB-ECDD83B4F3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5250" y="2390775"/>
              <a:ext cx="2286000" cy="3962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104775</xdr:colOff>
      <xdr:row>23</xdr:row>
      <xdr:rowOff>222250</xdr:rowOff>
    </xdr:from>
    <xdr:to>
      <xdr:col>15</xdr:col>
      <xdr:colOff>733425</xdr:colOff>
      <xdr:row>27</xdr:row>
      <xdr:rowOff>222250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Categoria">
              <a:extLst>
                <a:ext uri="{FF2B5EF4-FFF2-40B4-BE49-F238E27FC236}">
                  <a16:creationId xmlns:a16="http://schemas.microsoft.com/office/drawing/2014/main" id="{53B08E45-8032-442A-ADB5-B8EFC56EB4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05725" y="6423025"/>
              <a:ext cx="22860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114300</xdr:colOff>
      <xdr:row>27</xdr:row>
      <xdr:rowOff>301625</xdr:rowOff>
    </xdr:from>
    <xdr:to>
      <xdr:col>15</xdr:col>
      <xdr:colOff>742950</xdr:colOff>
      <xdr:row>31</xdr:row>
      <xdr:rowOff>22225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Region">
              <a:extLst>
                <a:ext uri="{FF2B5EF4-FFF2-40B4-BE49-F238E27FC236}">
                  <a16:creationId xmlns:a16="http://schemas.microsoft.com/office/drawing/2014/main" id="{94461605-ADA8-48F6-B9C7-33D4790DB8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5250" y="8026400"/>
              <a:ext cx="2286000" cy="124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D2081806-75D1-470E-A8EA-7BE418126456}" sourceName="Mes">
  <extLst>
    <x:ext xmlns:x15="http://schemas.microsoft.com/office/spreadsheetml/2010/11/main" uri="{2F2917AC-EB37-4324-AD4E-5DD8C200BD13}">
      <x15:tableSlicerCache tableId="1" column="20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D74D5DBC-B065-428C-ACF3-8860D460647C}" sourceName="Categoria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95643A82-BB2C-4FAF-B2B2-3B909CB68176}" sourceName="Region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A356543C-0A55-49B4-9B91-DA16C7C1F4A4}" cache="SegmentaciónDeDatos_Mes" caption="Mes" rowHeight="241300"/>
  <slicer name="Categoria" xr10:uid="{DA2FAC0E-99B9-4017-9884-79C8E06810B1}" cache="SegmentaciónDeDatos_Categoria" caption="Categoria" rowHeight="241300"/>
  <slicer name="Region" xr10:uid="{2297A3EB-5BE0-4020-9D82-7282722634CC}" cache="SegmentaciónDeDatos_Region" caption="Region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D642C-70F8-4BF3-845F-DB2D1636F0E1}" name="Tabla1" displayName="Tabla1" ref="A1:T396" totalsRowShown="0">
  <autoFilter ref="A1:T396" xr:uid="{8F0D642C-70F8-4BF3-845F-DB2D1636F0E1}"/>
  <tableColumns count="20">
    <tableColumn id="1" xr3:uid="{3F6E3104-6EB0-4BAC-9607-10E8BCE6D4A0}" name="Fecha" dataDxfId="15"/>
    <tableColumn id="2" xr3:uid="{EF1D970B-879F-4674-9308-13C2AA1BEFDD}" name="Cliente" dataDxfId="14"/>
    <tableColumn id="3" xr3:uid="{35051233-A31E-4F26-82AE-4196C4FF02E1}" name="Region" dataDxfId="13"/>
    <tableColumn id="4" xr3:uid="{BA81E7C2-C491-4F63-9D6B-6444035C7583}" name="Producto" dataDxfId="12"/>
    <tableColumn id="5" xr3:uid="{AA897370-21A3-4D7D-9806-EBFF6C3A9120}" name="Categoria" dataDxfId="11"/>
    <tableColumn id="6" xr3:uid="{F6250326-1E65-45CD-8025-FB2E254600DC}" name="Unidades" dataDxfId="10"/>
    <tableColumn id="7" xr3:uid="{B4463E44-7264-47E5-9592-B743325830C8}" name="Precio_Unitario" dataDxfId="9"/>
    <tableColumn id="8" xr3:uid="{D8366E3E-0FE8-4BFD-8B81-565FC1A236D9}" name="Costo_Unitario" dataDxfId="8"/>
    <tableColumn id="9" xr3:uid="{3D946145-8D1D-4026-B056-3DFDC6DD2490}" name="Monto_Venta" dataDxfId="7"/>
    <tableColumn id="10" xr3:uid="{04C5D3B5-3783-4A9C-A179-2DD3C3AA83E1}" name="Costo_Total" dataDxfId="6"/>
    <tableColumn id="11" xr3:uid="{D4A73171-0552-4787-BBEC-C54B49F6CAFB}" name="Margen_Neto" dataDxfId="5"/>
    <tableColumn id="12" xr3:uid="{D3C849E4-13CD-43C9-BA7D-EDAE9CBAE288}" name="Precio_Maquillaje">
      <calculatedColumnFormula>IF($E2="Maquillaje",$G2,"")</calculatedColumnFormula>
    </tableColumn>
    <tableColumn id="13" xr3:uid="{FBD78483-BDF7-444A-8AAD-D027FC3C60AD}" name="Costo_Maquillaje">
      <calculatedColumnFormula>IF($E2="Maquillaje",$H2,"")</calculatedColumnFormula>
    </tableColumn>
    <tableColumn id="14" xr3:uid="{64898E70-1526-44FC-8845-F97DD061DA59}" name="Precio_Perfumería">
      <calculatedColumnFormula>IF($E2="Perfumería",$G2,"")</calculatedColumnFormula>
    </tableColumn>
    <tableColumn id="15" xr3:uid="{1483BED1-FDD1-46FA-9E39-7DBDA5F0D1ED}" name="Costo_Perfumería">
      <calculatedColumnFormula>IF($E2="Perfumería",$H2,"")</calculatedColumnFormula>
    </tableColumn>
    <tableColumn id="16" xr3:uid="{10B99BA2-023E-41E1-97CF-B6B89F531D7E}" name="Precio_Cuidado Facial">
      <calculatedColumnFormula>IF($E2="Cuidado Facial",$G2,"")</calculatedColumnFormula>
    </tableColumn>
    <tableColumn id="17" xr3:uid="{32A3C56C-23F6-45F9-BE69-BB363F11E893}" name="Costo_Cuidado Facial">
      <calculatedColumnFormula>IF($E2="Cuidado Facial",$H2,"")</calculatedColumnFormula>
    </tableColumn>
    <tableColumn id="18" xr3:uid="{E5294D85-7ABF-43D0-AD96-59819BEEEB67}" name="Precio_Capilar">
      <calculatedColumnFormula>IF($E2="Capilar",$G2,"")</calculatedColumnFormula>
    </tableColumn>
    <tableColumn id="19" xr3:uid="{23076975-01A1-4976-9EC8-1266C75FD0E3}" name="Costo_Capilar">
      <calculatedColumnFormula>IF($E2="Capilar",$H2,"")</calculatedColumnFormula>
    </tableColumn>
    <tableColumn id="20" xr3:uid="{88417B1E-57A1-4A32-917E-096279D0AB00}" name="Mes" dataDxfId="4">
      <calculatedColumnFormula>CHOOSE(MONTH(A2),"Enero","Febrero","Marzo","Abril","Mayo","Junio","Julio","Agosto","Septiembre","Octubre","Noviembre","Diciembre")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2A003C-F9C2-4CC6-9F4D-01188643745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be7a1807-47c6-4eea-a2e9-724332d20e8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showGridLines="0" tabSelected="1" zoomScale="70" zoomScaleNormal="70" workbookViewId="0">
      <pane ySplit="4" topLeftCell="A14" activePane="bottomLeft" state="frozen"/>
      <selection pane="bottomLeft" activeCell="W31" sqref="W31"/>
    </sheetView>
  </sheetViews>
  <sheetFormatPr baseColWidth="10" defaultColWidth="8.7109375" defaultRowHeight="15" x14ac:dyDescent="0.25"/>
  <cols>
    <col min="1" max="1" width="2" customWidth="1"/>
    <col min="2" max="4" width="12" customWidth="1"/>
    <col min="5" max="5" width="2" customWidth="1"/>
    <col min="6" max="8" width="12" customWidth="1"/>
    <col min="9" max="9" width="2" customWidth="1"/>
    <col min="10" max="12" width="12" customWidth="1"/>
    <col min="13" max="13" width="2" customWidth="1"/>
    <col min="14" max="16" width="11.42578125" customWidth="1"/>
  </cols>
  <sheetData>
    <row r="1" spans="1:16" ht="8.1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30" customHeight="1" x14ac:dyDescent="0.25">
      <c r="A2" s="19"/>
      <c r="B2" s="20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20.100000000000001" customHeight="1" x14ac:dyDescent="0.25">
      <c r="A3" s="19"/>
      <c r="B3" s="38" t="str">
        <f>IF((SUMPRODUCT((MONTH(Datos_Base!$A$2:$A$396)&gt;6)*Datos_Base!$I$2:$I$396)-SUMPRODUCT((MONTH(Datos_Base!$A$2:$A$396)&lt;=6)*Datos_Base!$I$2:$I$396))/SUMPRODUCT((MONTH(Datos_Base!$A$2:$A$396)&lt;=6)*Datos_Base!$I$2:$I$396)&lt;0,"Las ventas muestran una desaceleración sostenida desde el tercer trimestre","Las ventas muestran una recuperación sostenida desde el tercer trimestre")</f>
        <v>Las ventas muestran una desaceleración sostenida desde el tercer trimestre</v>
      </c>
      <c r="C3" s="39"/>
      <c r="D3" s="39"/>
      <c r="E3" s="39"/>
      <c r="F3" s="39"/>
      <c r="G3" s="39"/>
      <c r="H3" s="39"/>
      <c r="I3" s="19"/>
      <c r="J3" s="19"/>
      <c r="K3" s="19"/>
      <c r="L3" s="19"/>
      <c r="M3" s="19"/>
      <c r="N3" s="19"/>
      <c r="O3" s="19"/>
      <c r="P3" s="19"/>
    </row>
    <row r="4" spans="1:16" ht="9.9499999999999993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8.1" customHeight="1" thickBo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16" ht="18" customHeight="1" thickTop="1" x14ac:dyDescent="0.25">
      <c r="A6" s="17"/>
      <c r="B6" s="40" t="s">
        <v>1</v>
      </c>
      <c r="C6" s="41"/>
      <c r="D6" s="42"/>
      <c r="E6" s="17"/>
      <c r="F6" s="43" t="s">
        <v>2</v>
      </c>
      <c r="G6" s="44"/>
      <c r="H6" s="45"/>
      <c r="I6" s="17"/>
      <c r="J6" s="46" t="s">
        <v>3</v>
      </c>
      <c r="K6" s="47"/>
      <c r="L6" s="48"/>
      <c r="M6" s="17"/>
      <c r="N6" s="17"/>
      <c r="O6" s="17"/>
      <c r="P6" s="17"/>
    </row>
    <row r="7" spans="1:16" ht="26.1" customHeight="1" x14ac:dyDescent="0.25">
      <c r="A7" s="17"/>
      <c r="B7" s="49">
        <f>SUM(Datos_Base!I2:I396)</f>
        <v>5923488.6999999937</v>
      </c>
      <c r="C7" s="50"/>
      <c r="D7" s="51"/>
      <c r="E7" s="17"/>
      <c r="F7" s="53">
        <f>SUM(Datos_Base!K2:K396)/SUM(Datos_Base!I2:I396)</f>
        <v>0.48918406985397012</v>
      </c>
      <c r="G7" s="54"/>
      <c r="H7" s="55"/>
      <c r="I7" s="17"/>
      <c r="J7" s="57">
        <f>(SUMPRODUCT((MONTH(Datos_Base!$A$2:$A$396)&gt;6)*Datos_Base!$I$2:$I$396)-SUMPRODUCT((MONTH(Datos_Base!$A$2:$A$396)&lt;=6)*Datos_Base!$I$2:$I$396))/SUMPRODUCT((MONTH(Datos_Base!$A$2:$A$396)&lt;=6)*Datos_Base!$I$2:$I$396)</f>
        <v>-0.23376507212376726</v>
      </c>
      <c r="K7" s="54"/>
      <c r="L7" s="55"/>
      <c r="M7" s="17"/>
      <c r="N7" s="17"/>
      <c r="O7" s="17"/>
      <c r="P7" s="17"/>
    </row>
    <row r="8" spans="1:16" ht="9.9499999999999993" customHeight="1" x14ac:dyDescent="0.25">
      <c r="A8" s="17"/>
      <c r="B8" s="52"/>
      <c r="C8" s="50"/>
      <c r="D8" s="51"/>
      <c r="E8" s="17"/>
      <c r="F8" s="56"/>
      <c r="G8" s="54"/>
      <c r="H8" s="55"/>
      <c r="I8" s="17"/>
      <c r="J8" s="56"/>
      <c r="K8" s="54"/>
      <c r="L8" s="55"/>
      <c r="M8" s="17"/>
      <c r="N8" s="17"/>
      <c r="O8" s="17"/>
      <c r="P8" s="17"/>
    </row>
    <row r="9" spans="1:16" ht="6" customHeight="1" x14ac:dyDescent="0.25">
      <c r="A9" s="17"/>
      <c r="B9" s="52"/>
      <c r="C9" s="50"/>
      <c r="D9" s="51"/>
      <c r="E9" s="17"/>
      <c r="F9" s="56"/>
      <c r="G9" s="54"/>
      <c r="H9" s="55"/>
      <c r="I9" s="17"/>
      <c r="J9" s="56"/>
      <c r="K9" s="54"/>
      <c r="L9" s="55"/>
      <c r="M9" s="17"/>
      <c r="N9" s="17"/>
      <c r="O9" s="17"/>
      <c r="P9" s="17"/>
    </row>
    <row r="10" spans="1:16" ht="15.95" customHeight="1" x14ac:dyDescent="0.25">
      <c r="A10" s="17"/>
      <c r="B10" s="30" t="s">
        <v>76</v>
      </c>
      <c r="C10" s="31"/>
      <c r="D10" s="32"/>
      <c r="E10" s="17"/>
      <c r="F10" s="30" t="s">
        <v>4</v>
      </c>
      <c r="G10" s="31"/>
      <c r="H10" s="32"/>
      <c r="I10" s="17"/>
      <c r="J10" s="30" t="s">
        <v>77</v>
      </c>
      <c r="K10" s="31"/>
      <c r="L10" s="32"/>
      <c r="M10" s="17"/>
      <c r="N10" s="17"/>
      <c r="O10" s="17"/>
      <c r="P10" s="17"/>
    </row>
    <row r="11" spans="1:16" ht="9.9499999999999993" customHeight="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spans="1:16" ht="8.1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 spans="1:16" ht="21.95" customHeight="1" x14ac:dyDescent="0.25">
      <c r="A13" s="17"/>
      <c r="B13" s="33" t="s">
        <v>5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17"/>
      <c r="N13" s="17"/>
      <c r="O13" s="17"/>
      <c r="P13" s="17"/>
    </row>
    <row r="14" spans="1:16" ht="30" customHeight="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spans="1:16" ht="30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spans="1:16" ht="30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spans="1:16" ht="30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spans="1:16" ht="30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spans="1:16" ht="30" customHeight="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spans="1:16" ht="30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spans="1:16" ht="30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spans="1:16" ht="30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spans="1:16" ht="30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spans="1:16" ht="30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ht="30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 ht="30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ht="30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 ht="30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 ht="30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 ht="30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ht="30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ht="21.95" customHeight="1" x14ac:dyDescent="0.25">
      <c r="A32" s="17"/>
      <c r="B32" s="21" t="s">
        <v>6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17"/>
      <c r="N32" s="17"/>
      <c r="O32" s="17"/>
      <c r="P32" s="17"/>
    </row>
    <row r="33" spans="1:16" ht="32.1" customHeight="1" x14ac:dyDescent="0.25">
      <c r="A33" s="17"/>
      <c r="B33" s="35" t="s">
        <v>7</v>
      </c>
      <c r="C33" s="36"/>
      <c r="D33" s="36"/>
      <c r="E33" s="36"/>
      <c r="F33" s="36"/>
      <c r="G33" s="36"/>
      <c r="H33" s="36"/>
      <c r="I33" s="36"/>
      <c r="J33" s="36"/>
      <c r="K33" s="36"/>
      <c r="L33" s="37"/>
      <c r="M33" s="17"/>
      <c r="N33" s="17"/>
      <c r="O33" s="17"/>
      <c r="P33" s="17"/>
    </row>
    <row r="34" spans="1:16" ht="5.0999999999999996" customHeight="1" x14ac:dyDescent="0.25">
      <c r="A34" s="17"/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  <c r="M34" s="17"/>
      <c r="N34" s="17"/>
      <c r="O34" s="17"/>
      <c r="P34" s="17"/>
    </row>
    <row r="35" spans="1:16" ht="32.1" customHeight="1" x14ac:dyDescent="0.25">
      <c r="A35" s="17"/>
      <c r="B35" s="23" t="s">
        <v>8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  <c r="M35" s="17"/>
      <c r="N35" s="17"/>
      <c r="O35" s="17"/>
      <c r="P35" s="17"/>
    </row>
    <row r="36" spans="1:16" ht="5.0999999999999996" customHeight="1" x14ac:dyDescent="0.25">
      <c r="A36" s="17"/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5"/>
      <c r="M36" s="17"/>
      <c r="N36" s="17"/>
      <c r="O36" s="17"/>
      <c r="P36" s="17"/>
    </row>
    <row r="37" spans="1:16" ht="32.1" customHeight="1" x14ac:dyDescent="0.25">
      <c r="A37" s="17"/>
      <c r="B37" s="26" t="s">
        <v>9</v>
      </c>
      <c r="C37" s="27"/>
      <c r="D37" s="27"/>
      <c r="E37" s="27"/>
      <c r="F37" s="27"/>
      <c r="G37" s="27"/>
      <c r="H37" s="27"/>
      <c r="I37" s="27"/>
      <c r="J37" s="27"/>
      <c r="K37" s="27"/>
      <c r="L37" s="28"/>
      <c r="M37" s="17"/>
      <c r="N37" s="17"/>
      <c r="O37" s="17"/>
      <c r="P37" s="17"/>
    </row>
    <row r="38" spans="1:16" ht="8.1" customHeight="1" x14ac:dyDescent="0.25">
      <c r="A38" s="17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17"/>
      <c r="N38" s="17"/>
      <c r="O38" s="17"/>
      <c r="P38" s="17"/>
    </row>
    <row r="39" spans="1:16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1:16" x14ac:dyDescent="0.25">
      <c r="A40" s="17"/>
      <c r="B40" s="18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spans="1:16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7"/>
      <c r="P41" s="17"/>
    </row>
    <row r="42" spans="1:16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7"/>
      <c r="P42" s="17"/>
    </row>
    <row r="43" spans="1:16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7"/>
      <c r="P43" s="17"/>
    </row>
    <row r="44" spans="1:16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7"/>
      <c r="P44" s="17"/>
    </row>
    <row r="45" spans="1:16" x14ac:dyDescent="0.25"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7"/>
      <c r="P45" s="17"/>
    </row>
    <row r="46" spans="1:16" x14ac:dyDescent="0.25"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7"/>
      <c r="P46" s="17"/>
    </row>
  </sheetData>
  <mergeCells count="14">
    <mergeCell ref="B3:H3"/>
    <mergeCell ref="B6:D6"/>
    <mergeCell ref="F6:H6"/>
    <mergeCell ref="J6:L6"/>
    <mergeCell ref="B7:D9"/>
    <mergeCell ref="F7:H9"/>
    <mergeCell ref="J7:L9"/>
    <mergeCell ref="B35:L36"/>
    <mergeCell ref="B37:L38"/>
    <mergeCell ref="B10:D10"/>
    <mergeCell ref="F10:H10"/>
    <mergeCell ref="J10:L10"/>
    <mergeCell ref="B13:L13"/>
    <mergeCell ref="B33:L34"/>
  </mergeCells>
  <conditionalFormatting sqref="F7">
    <cfRule type="cellIs" dxfId="3" priority="2" operator="greaterThanOrEqual">
      <formula>0.45</formula>
    </cfRule>
    <cfRule type="cellIs" dxfId="2" priority="3" operator="lessThan">
      <formula>0.45</formula>
    </cfRule>
  </conditionalFormatting>
  <conditionalFormatting sqref="J7">
    <cfRule type="cellIs" dxfId="1" priority="4" operator="greaterThanOrEqual">
      <formula>0</formula>
    </cfRule>
    <cfRule type="cellIs" dxfId="0" priority="5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96"/>
  <sheetViews>
    <sheetView topLeftCell="J1" zoomScaleNormal="100" workbookViewId="0">
      <pane ySplit="1" topLeftCell="A2" activePane="bottomLeft" state="frozen"/>
      <selection activeCell="R12" sqref="R12"/>
      <selection pane="bottomLeft" activeCell="A2" sqref="A2"/>
    </sheetView>
  </sheetViews>
  <sheetFormatPr baseColWidth="10" defaultColWidth="8.7109375" defaultRowHeight="15" x14ac:dyDescent="0.25"/>
  <cols>
    <col min="1" max="1" width="12" customWidth="1"/>
    <col min="2" max="2" width="20" customWidth="1"/>
    <col min="3" max="3" width="10" customWidth="1"/>
    <col min="4" max="4" width="26" customWidth="1"/>
    <col min="5" max="5" width="16" customWidth="1"/>
    <col min="6" max="6" width="11.5703125" customWidth="1"/>
    <col min="7" max="7" width="17.140625" customWidth="1"/>
    <col min="8" max="8" width="16.28515625" customWidth="1"/>
    <col min="9" max="9" width="15" customWidth="1"/>
    <col min="10" max="10" width="13.7109375" customWidth="1"/>
    <col min="11" max="11" width="15.140625" customWidth="1"/>
    <col min="12" max="12" width="19.28515625" customWidth="1"/>
    <col min="13" max="13" width="18.7109375" customWidth="1"/>
    <col min="14" max="14" width="19.7109375" customWidth="1"/>
    <col min="15" max="15" width="19.140625" customWidth="1"/>
    <col min="16" max="16" width="22.42578125" customWidth="1"/>
    <col min="17" max="17" width="21.85546875" customWidth="1"/>
    <col min="18" max="18" width="15.85546875" customWidth="1"/>
    <col min="19" max="19" width="15.28515625" customWidth="1"/>
    <col min="20" max="20" width="12" customWidth="1"/>
  </cols>
  <sheetData>
    <row r="1" spans="1:20" ht="15" customHeight="1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s="4" t="s">
        <v>29</v>
      </c>
    </row>
    <row r="2" spans="1:20" ht="15" customHeight="1" x14ac:dyDescent="0.25">
      <c r="A2" s="5">
        <v>46069</v>
      </c>
      <c r="B2" s="6" t="s">
        <v>30</v>
      </c>
      <c r="C2" s="6" t="s">
        <v>31</v>
      </c>
      <c r="D2" s="6" t="s">
        <v>32</v>
      </c>
      <c r="E2" s="6" t="s">
        <v>33</v>
      </c>
      <c r="F2" s="6">
        <v>11</v>
      </c>
      <c r="G2" s="7">
        <v>3456.44</v>
      </c>
      <c r="H2" s="7">
        <v>1596.65</v>
      </c>
      <c r="I2" s="7">
        <v>38020.839999999997</v>
      </c>
      <c r="J2" s="7">
        <v>17563.150000000001</v>
      </c>
      <c r="K2" s="7">
        <v>20457.689999999999</v>
      </c>
      <c r="L2" t="e">
        <f>IF($E2="Maquillaje",$G2,NA())</f>
        <v>#N/A</v>
      </c>
      <c r="M2" t="e">
        <f>IF($E2="Maquillaje",$H2,NA())</f>
        <v>#N/A</v>
      </c>
      <c r="N2" s="8">
        <f>IF($E2="Perfumería",$G2,NA())</f>
        <v>3456.44</v>
      </c>
      <c r="O2" s="8">
        <f>IF($E2="Perfumería",$H2,NA())</f>
        <v>1596.65</v>
      </c>
      <c r="P2" t="e">
        <f>IF($E2="Cuidado Facial",$G2,NA())</f>
        <v>#N/A</v>
      </c>
      <c r="Q2" t="e">
        <f>IF($E2="Cuidado Facial",$H2,NA())</f>
        <v>#N/A</v>
      </c>
      <c r="R2" t="e">
        <f>IF($E2="Capilar",$G2,NA())</f>
        <v>#N/A</v>
      </c>
      <c r="S2" t="e">
        <f>IF($E2="Capilar",$H2,NA())</f>
        <v>#N/A</v>
      </c>
      <c r="T2" s="6" t="str">
        <f t="shared" ref="T2:T65" si="0">CHOOSE(MONTH(A2),"Enero","Febrero","Marzo","Abril","Mayo","Junio","Julio","Agosto","Septiembre","Octubre","Noviembre","Diciembre")</f>
        <v>Febrero</v>
      </c>
    </row>
    <row r="3" spans="1:20" ht="15" customHeight="1" x14ac:dyDescent="0.25">
      <c r="A3" s="5">
        <v>46308</v>
      </c>
      <c r="B3" s="6" t="s">
        <v>34</v>
      </c>
      <c r="C3" s="6" t="s">
        <v>35</v>
      </c>
      <c r="D3" s="6" t="s">
        <v>36</v>
      </c>
      <c r="E3" s="6" t="s">
        <v>37</v>
      </c>
      <c r="F3" s="6">
        <v>5</v>
      </c>
      <c r="G3" s="7">
        <v>1467.47</v>
      </c>
      <c r="H3" s="7">
        <v>808.39</v>
      </c>
      <c r="I3" s="7">
        <v>7337.35</v>
      </c>
      <c r="J3" s="7">
        <v>4041.95</v>
      </c>
      <c r="K3" s="7">
        <v>3295.4</v>
      </c>
      <c r="L3" s="8">
        <f>IF($E3="Maquillaje",$G3,NA())</f>
        <v>1467.47</v>
      </c>
      <c r="M3" s="8">
        <f>IF($E3="Maquillaje",$H3,NA())</f>
        <v>808.39</v>
      </c>
      <c r="N3" t="e">
        <f>IF($E3="Perfumería",$G3,NA())</f>
        <v>#N/A</v>
      </c>
      <c r="O3" t="e">
        <f>IF($E3="Perfumería",$H3,NA())</f>
        <v>#N/A</v>
      </c>
      <c r="P3" t="e">
        <f>IF($E3="Cuidado Facial",$G3,NA())</f>
        <v>#N/A</v>
      </c>
      <c r="Q3" t="e">
        <f>IF($E3="Cuidado Facial",$H3,NA())</f>
        <v>#N/A</v>
      </c>
      <c r="R3" t="e">
        <f>IF($E3="Capilar",$G3,NA())</f>
        <v>#N/A</v>
      </c>
      <c r="S3" t="e">
        <f>IF($E3="Capilar",$H3,NA())</f>
        <v>#N/A</v>
      </c>
      <c r="T3" s="6" t="str">
        <f t="shared" si="0"/>
        <v>Octubre</v>
      </c>
    </row>
    <row r="4" spans="1:20" ht="15" customHeight="1" x14ac:dyDescent="0.25">
      <c r="A4" s="5">
        <v>46072</v>
      </c>
      <c r="B4" s="6" t="s">
        <v>30</v>
      </c>
      <c r="C4" s="6" t="s">
        <v>35</v>
      </c>
      <c r="D4" s="6" t="s">
        <v>32</v>
      </c>
      <c r="E4" s="6" t="s">
        <v>33</v>
      </c>
      <c r="F4" s="6">
        <v>11</v>
      </c>
      <c r="G4" s="7">
        <v>3421.57</v>
      </c>
      <c r="H4" s="7">
        <v>1847.03</v>
      </c>
      <c r="I4" s="7">
        <v>37637.269999999997</v>
      </c>
      <c r="J4" s="7">
        <v>20317.330000000002</v>
      </c>
      <c r="K4" s="7">
        <v>17319.939999999999</v>
      </c>
      <c r="L4" t="e">
        <f>IF($E4="Maquillaje",$G4,NA())</f>
        <v>#N/A</v>
      </c>
      <c r="M4" t="e">
        <f>IF($E4="Maquillaje",$H4,NA())</f>
        <v>#N/A</v>
      </c>
      <c r="N4">
        <f>IF($E4="Perfumería",$G4,NA())</f>
        <v>3421.57</v>
      </c>
      <c r="O4">
        <f>IF($E4="Perfumería",$H4,NA())</f>
        <v>1847.03</v>
      </c>
      <c r="P4" t="e">
        <f>IF($E4="Cuidado Facial",$G4,NA())</f>
        <v>#N/A</v>
      </c>
      <c r="Q4" t="e">
        <f>IF($E4="Cuidado Facial",$H4,NA())</f>
        <v>#N/A</v>
      </c>
      <c r="R4" t="e">
        <f>IF($E4="Capilar",$G4,NA())</f>
        <v>#N/A</v>
      </c>
      <c r="S4" t="e">
        <f>IF($E4="Capilar",$H4,NA())</f>
        <v>#N/A</v>
      </c>
      <c r="T4" s="6" t="str">
        <f t="shared" si="0"/>
        <v>Febrero</v>
      </c>
    </row>
    <row r="5" spans="1:20" ht="15" customHeight="1" x14ac:dyDescent="0.25">
      <c r="A5" s="5">
        <v>46150</v>
      </c>
      <c r="B5" s="6" t="s">
        <v>38</v>
      </c>
      <c r="C5" s="6" t="s">
        <v>31</v>
      </c>
      <c r="D5" s="6" t="s">
        <v>39</v>
      </c>
      <c r="E5" s="6" t="s">
        <v>40</v>
      </c>
      <c r="F5" s="6">
        <v>8</v>
      </c>
      <c r="G5" s="7">
        <v>2257.56</v>
      </c>
      <c r="H5" s="7">
        <v>1098.18</v>
      </c>
      <c r="I5" s="7">
        <v>18060.48</v>
      </c>
      <c r="J5" s="7">
        <v>8785.44</v>
      </c>
      <c r="K5" s="7">
        <v>9275.0400000000009</v>
      </c>
      <c r="L5" t="e">
        <f>IF($E5="Maquillaje",$G5,NA())</f>
        <v>#N/A</v>
      </c>
      <c r="M5" t="e">
        <f>IF($E5="Maquillaje",$H5,NA())</f>
        <v>#N/A</v>
      </c>
      <c r="N5" t="e">
        <f>IF($E5="Perfumería",$G5,NA())</f>
        <v>#N/A</v>
      </c>
      <c r="O5" t="e">
        <f>IF($E5="Perfumería",$H5,NA())</f>
        <v>#N/A</v>
      </c>
      <c r="P5" s="8">
        <f>IF($E5="Cuidado Facial",$G5,NA())</f>
        <v>2257.56</v>
      </c>
      <c r="Q5" s="8">
        <f>IF($E5="Cuidado Facial",$H5,NA())</f>
        <v>1098.18</v>
      </c>
      <c r="R5" t="e">
        <f>IF($E5="Capilar",$G5,NA())</f>
        <v>#N/A</v>
      </c>
      <c r="S5" t="e">
        <f>IF($E5="Capilar",$H5,NA())</f>
        <v>#N/A</v>
      </c>
      <c r="T5" s="6" t="str">
        <f t="shared" si="0"/>
        <v>Mayo</v>
      </c>
    </row>
    <row r="6" spans="1:20" ht="15" customHeight="1" x14ac:dyDescent="0.25">
      <c r="A6" s="5">
        <v>46237</v>
      </c>
      <c r="B6" s="6" t="s">
        <v>41</v>
      </c>
      <c r="C6" s="6" t="s">
        <v>35</v>
      </c>
      <c r="D6" s="6" t="s">
        <v>42</v>
      </c>
      <c r="E6" s="6" t="s">
        <v>43</v>
      </c>
      <c r="F6" s="6">
        <v>11</v>
      </c>
      <c r="G6" s="7">
        <v>869.75</v>
      </c>
      <c r="H6" s="7">
        <v>485.58</v>
      </c>
      <c r="I6" s="7">
        <v>9567.25</v>
      </c>
      <c r="J6" s="7">
        <v>5341.38</v>
      </c>
      <c r="K6" s="7">
        <v>4225.87</v>
      </c>
      <c r="L6" t="e">
        <f>IF($E6="Maquillaje",$G6,NA())</f>
        <v>#N/A</v>
      </c>
      <c r="M6" t="e">
        <f>IF($E6="Maquillaje",$H6,NA())</f>
        <v>#N/A</v>
      </c>
      <c r="N6" t="e">
        <f>IF($E6="Perfumería",$G6,NA())</f>
        <v>#N/A</v>
      </c>
      <c r="O6" t="e">
        <f>IF($E6="Perfumería",$H6,NA())</f>
        <v>#N/A</v>
      </c>
      <c r="P6" t="e">
        <f>IF($E6="Cuidado Facial",$G6,NA())</f>
        <v>#N/A</v>
      </c>
      <c r="Q6" t="e">
        <f>IF($E6="Cuidado Facial",$H6,NA())</f>
        <v>#N/A</v>
      </c>
      <c r="R6" s="8">
        <f>IF($E6="Capilar",$G6,NA())</f>
        <v>869.75</v>
      </c>
      <c r="S6" s="8">
        <f>IF($E6="Capilar",$H6,NA())</f>
        <v>485.58</v>
      </c>
      <c r="T6" s="6" t="str">
        <f t="shared" si="0"/>
        <v>Agosto</v>
      </c>
    </row>
    <row r="7" spans="1:20" ht="15" customHeight="1" x14ac:dyDescent="0.25">
      <c r="A7" s="5">
        <v>46202</v>
      </c>
      <c r="B7" s="6" t="s">
        <v>38</v>
      </c>
      <c r="C7" s="6" t="s">
        <v>31</v>
      </c>
      <c r="D7" s="6" t="s">
        <v>36</v>
      </c>
      <c r="E7" s="6" t="s">
        <v>37</v>
      </c>
      <c r="F7" s="6">
        <v>8</v>
      </c>
      <c r="G7" s="7">
        <v>1507.14</v>
      </c>
      <c r="H7" s="7">
        <v>712.14</v>
      </c>
      <c r="I7" s="7">
        <v>12057.12</v>
      </c>
      <c r="J7" s="7">
        <v>5697.12</v>
      </c>
      <c r="K7" s="7">
        <v>6360</v>
      </c>
      <c r="L7" s="8">
        <f>IF($E7="Maquillaje",$G7,NA())</f>
        <v>1507.14</v>
      </c>
      <c r="M7" s="8">
        <f>IF($E7="Maquillaje",$H7,NA())</f>
        <v>712.14</v>
      </c>
      <c r="N7" t="e">
        <f>IF($E7="Perfumería",$G7,NA())</f>
        <v>#N/A</v>
      </c>
      <c r="O7" t="e">
        <f>IF($E7="Perfumería",$H7,NA())</f>
        <v>#N/A</v>
      </c>
      <c r="P7" t="e">
        <f>IF($E7="Cuidado Facial",$G7,NA())</f>
        <v>#N/A</v>
      </c>
      <c r="Q7" t="e">
        <f>IF($E7="Cuidado Facial",$H7,NA())</f>
        <v>#N/A</v>
      </c>
      <c r="R7" t="e">
        <f>IF($E7="Capilar",$G7,NA())</f>
        <v>#N/A</v>
      </c>
      <c r="S7" t="e">
        <f>IF($E7="Capilar",$H7,NA())</f>
        <v>#N/A</v>
      </c>
      <c r="T7" s="6" t="str">
        <f t="shared" si="0"/>
        <v>Junio</v>
      </c>
    </row>
    <row r="8" spans="1:20" ht="15" customHeight="1" x14ac:dyDescent="0.25">
      <c r="A8" s="5">
        <v>46371</v>
      </c>
      <c r="B8" s="6" t="s">
        <v>41</v>
      </c>
      <c r="C8" s="6" t="s">
        <v>35</v>
      </c>
      <c r="D8" s="6" t="s">
        <v>44</v>
      </c>
      <c r="E8" s="6" t="s">
        <v>37</v>
      </c>
      <c r="F8" s="6">
        <v>6</v>
      </c>
      <c r="G8" s="7">
        <v>1120.33</v>
      </c>
      <c r="H8" s="7">
        <v>600.22</v>
      </c>
      <c r="I8" s="7">
        <v>6721.98</v>
      </c>
      <c r="J8" s="7">
        <v>3601.32</v>
      </c>
      <c r="K8" s="7">
        <v>3120.66</v>
      </c>
      <c r="L8" s="8">
        <f>IF($E8="Maquillaje",$G8,NA())</f>
        <v>1120.33</v>
      </c>
      <c r="M8" s="8">
        <f>IF($E8="Maquillaje",$H8,NA())</f>
        <v>600.22</v>
      </c>
      <c r="N8" t="e">
        <f>IF($E8="Perfumería",$G8,NA())</f>
        <v>#N/A</v>
      </c>
      <c r="O8" t="e">
        <f>IF($E8="Perfumería",$H8,NA())</f>
        <v>#N/A</v>
      </c>
      <c r="P8" t="e">
        <f>IF($E8="Cuidado Facial",$G8,NA())</f>
        <v>#N/A</v>
      </c>
      <c r="Q8" t="e">
        <f>IF($E8="Cuidado Facial",$H8,NA())</f>
        <v>#N/A</v>
      </c>
      <c r="R8" t="e">
        <f>IF($E8="Capilar",$G8,NA())</f>
        <v>#N/A</v>
      </c>
      <c r="S8" t="e">
        <f>IF($E8="Capilar",$H8,NA())</f>
        <v>#N/A</v>
      </c>
      <c r="T8" s="6" t="str">
        <f t="shared" si="0"/>
        <v>Diciembre</v>
      </c>
    </row>
    <row r="9" spans="1:20" ht="15" customHeight="1" x14ac:dyDescent="0.25">
      <c r="A9" s="5">
        <v>46149</v>
      </c>
      <c r="B9" s="6" t="s">
        <v>34</v>
      </c>
      <c r="C9" s="6" t="s">
        <v>35</v>
      </c>
      <c r="D9" s="6" t="s">
        <v>45</v>
      </c>
      <c r="E9" s="6" t="s">
        <v>43</v>
      </c>
      <c r="F9" s="6">
        <v>9</v>
      </c>
      <c r="G9" s="7">
        <v>1051.1199999999999</v>
      </c>
      <c r="H9" s="7">
        <v>519.34</v>
      </c>
      <c r="I9" s="7">
        <v>9460.08</v>
      </c>
      <c r="J9" s="7">
        <v>4674.0600000000004</v>
      </c>
      <c r="K9" s="7">
        <v>4786.0200000000004</v>
      </c>
      <c r="L9" t="e">
        <f>IF($E9="Maquillaje",$G9,NA())</f>
        <v>#N/A</v>
      </c>
      <c r="M9" t="e">
        <f>IF($E9="Maquillaje",$H9,NA())</f>
        <v>#N/A</v>
      </c>
      <c r="N9" t="e">
        <f>IF($E9="Perfumería",$G9,NA())</f>
        <v>#N/A</v>
      </c>
      <c r="O9" t="e">
        <f>IF($E9="Perfumería",$H9,NA())</f>
        <v>#N/A</v>
      </c>
      <c r="P9" t="e">
        <f>IF($E9="Cuidado Facial",$G9,NA())</f>
        <v>#N/A</v>
      </c>
      <c r="Q9" t="e">
        <f>IF($E9="Cuidado Facial",$H9,NA())</f>
        <v>#N/A</v>
      </c>
      <c r="R9" s="8">
        <f>IF($E9="Capilar",$G9,NA())</f>
        <v>1051.1199999999999</v>
      </c>
      <c r="S9" s="8">
        <f>IF($E9="Capilar",$H9,NA())</f>
        <v>519.34</v>
      </c>
      <c r="T9" s="6" t="str">
        <f t="shared" si="0"/>
        <v>Mayo</v>
      </c>
    </row>
    <row r="10" spans="1:20" ht="15" customHeight="1" x14ac:dyDescent="0.25">
      <c r="A10" s="5">
        <v>46206</v>
      </c>
      <c r="B10" s="6" t="s">
        <v>34</v>
      </c>
      <c r="C10" s="6" t="s">
        <v>35</v>
      </c>
      <c r="D10" s="6" t="s">
        <v>36</v>
      </c>
      <c r="E10" s="6" t="s">
        <v>37</v>
      </c>
      <c r="F10" s="6">
        <v>3</v>
      </c>
      <c r="G10" s="7">
        <v>1372.27</v>
      </c>
      <c r="H10" s="7">
        <v>738.4</v>
      </c>
      <c r="I10" s="7">
        <v>4116.8100000000004</v>
      </c>
      <c r="J10" s="7">
        <v>2215.1999999999998</v>
      </c>
      <c r="K10" s="7">
        <v>1901.61</v>
      </c>
      <c r="L10" s="8">
        <f>IF($E10="Maquillaje",$G10,NA())</f>
        <v>1372.27</v>
      </c>
      <c r="M10" s="8">
        <f>IF($E10="Maquillaje",$H10,NA())</f>
        <v>738.4</v>
      </c>
      <c r="N10" t="e">
        <f>IF($E10="Perfumería",$G10,NA())</f>
        <v>#N/A</v>
      </c>
      <c r="O10" t="e">
        <f>IF($E10="Perfumería",$H10,NA())</f>
        <v>#N/A</v>
      </c>
      <c r="P10" t="e">
        <f>IF($E10="Cuidado Facial",$G10,NA())</f>
        <v>#N/A</v>
      </c>
      <c r="Q10" t="e">
        <f>IF($E10="Cuidado Facial",$H10,NA())</f>
        <v>#N/A</v>
      </c>
      <c r="R10" t="e">
        <f>IF($E10="Capilar",$G10,NA())</f>
        <v>#N/A</v>
      </c>
      <c r="S10" t="e">
        <f>IF($E10="Capilar",$H10,NA())</f>
        <v>#N/A</v>
      </c>
      <c r="T10" s="6" t="str">
        <f t="shared" si="0"/>
        <v>Julio</v>
      </c>
    </row>
    <row r="11" spans="1:20" ht="15" customHeight="1" x14ac:dyDescent="0.25">
      <c r="A11" s="5">
        <v>46025</v>
      </c>
      <c r="B11" s="6" t="s">
        <v>46</v>
      </c>
      <c r="C11" s="6" t="s">
        <v>31</v>
      </c>
      <c r="D11" s="6" t="s">
        <v>47</v>
      </c>
      <c r="E11" s="6" t="s">
        <v>33</v>
      </c>
      <c r="F11" s="6">
        <v>14</v>
      </c>
      <c r="G11" s="7">
        <v>3209.91</v>
      </c>
      <c r="H11" s="7">
        <v>1637.63</v>
      </c>
      <c r="I11" s="7">
        <v>44938.74</v>
      </c>
      <c r="J11" s="7">
        <v>22926.82</v>
      </c>
      <c r="K11" s="7">
        <v>22011.919999999998</v>
      </c>
      <c r="L11" t="e">
        <f>IF($E11="Maquillaje",$G11,NA())</f>
        <v>#N/A</v>
      </c>
      <c r="M11" t="e">
        <f>IF($E11="Maquillaje",$H11,NA())</f>
        <v>#N/A</v>
      </c>
      <c r="N11" s="8">
        <f>IF($E11="Perfumería",$G11,NA())</f>
        <v>3209.91</v>
      </c>
      <c r="O11" s="8">
        <f>IF($E11="Perfumería",$H11,NA())</f>
        <v>1637.63</v>
      </c>
      <c r="P11" t="e">
        <f>IF($E11="Cuidado Facial",$G11,NA())</f>
        <v>#N/A</v>
      </c>
      <c r="Q11" t="e">
        <f>IF($E11="Cuidado Facial",$H11,NA())</f>
        <v>#N/A</v>
      </c>
      <c r="R11" t="e">
        <f>IF($E11="Capilar",$G11,NA())</f>
        <v>#N/A</v>
      </c>
      <c r="S11" t="e">
        <f>IF($E11="Capilar",$H11,NA())</f>
        <v>#N/A</v>
      </c>
      <c r="T11" s="6" t="str">
        <f t="shared" si="0"/>
        <v>Enero</v>
      </c>
    </row>
    <row r="12" spans="1:20" ht="15" customHeight="1" x14ac:dyDescent="0.25">
      <c r="A12" s="5">
        <v>46371</v>
      </c>
      <c r="B12" s="6" t="s">
        <v>41</v>
      </c>
      <c r="C12" s="6" t="s">
        <v>35</v>
      </c>
      <c r="D12" s="6" t="s">
        <v>42</v>
      </c>
      <c r="E12" s="6" t="s">
        <v>43</v>
      </c>
      <c r="F12" s="6">
        <v>8</v>
      </c>
      <c r="G12" s="7">
        <v>975.52</v>
      </c>
      <c r="H12" s="7">
        <v>437.98</v>
      </c>
      <c r="I12" s="7">
        <v>7804.16</v>
      </c>
      <c r="J12" s="7">
        <v>3503.84</v>
      </c>
      <c r="K12" s="7">
        <v>4300.32</v>
      </c>
      <c r="L12" t="e">
        <f>IF($E12="Maquillaje",$G12,NA())</f>
        <v>#N/A</v>
      </c>
      <c r="M12" t="e">
        <f>IF($E12="Maquillaje",$H12,NA())</f>
        <v>#N/A</v>
      </c>
      <c r="N12" t="e">
        <f>IF($E12="Perfumería",$G12,NA())</f>
        <v>#N/A</v>
      </c>
      <c r="O12" t="e">
        <f>IF($E12="Perfumería",$H12,NA())</f>
        <v>#N/A</v>
      </c>
      <c r="P12" t="e">
        <f>IF($E12="Cuidado Facial",$G12,NA())</f>
        <v>#N/A</v>
      </c>
      <c r="Q12" t="e">
        <f>IF($E12="Cuidado Facial",$H12,NA())</f>
        <v>#N/A</v>
      </c>
      <c r="R12" s="8">
        <f>IF($E12="Capilar",$G12,NA())</f>
        <v>975.52</v>
      </c>
      <c r="S12" s="8">
        <f>IF($E12="Capilar",$H12,NA())</f>
        <v>437.98</v>
      </c>
      <c r="T12" s="6" t="str">
        <f t="shared" si="0"/>
        <v>Diciembre</v>
      </c>
    </row>
    <row r="13" spans="1:20" ht="15" customHeight="1" x14ac:dyDescent="0.25">
      <c r="A13" s="5">
        <v>46197</v>
      </c>
      <c r="B13" s="6" t="s">
        <v>30</v>
      </c>
      <c r="C13" s="6" t="s">
        <v>48</v>
      </c>
      <c r="D13" s="6" t="s">
        <v>36</v>
      </c>
      <c r="E13" s="6" t="s">
        <v>37</v>
      </c>
      <c r="F13" s="6">
        <v>10</v>
      </c>
      <c r="G13" s="7">
        <v>1312.4</v>
      </c>
      <c r="H13" s="7">
        <v>838.4</v>
      </c>
      <c r="I13" s="7">
        <v>13124</v>
      </c>
      <c r="J13" s="7">
        <v>8384</v>
      </c>
      <c r="K13" s="7">
        <v>4740</v>
      </c>
      <c r="L13" s="8">
        <f>IF($E13="Maquillaje",$G13,NA())</f>
        <v>1312.4</v>
      </c>
      <c r="M13" s="8">
        <f>IF($E13="Maquillaje",$H13,NA())</f>
        <v>838.4</v>
      </c>
      <c r="N13" t="e">
        <f>IF($E13="Perfumería",$G13,NA())</f>
        <v>#N/A</v>
      </c>
      <c r="O13" t="e">
        <f>IF($E13="Perfumería",$H13,NA())</f>
        <v>#N/A</v>
      </c>
      <c r="P13" t="e">
        <f>IF($E13="Cuidado Facial",$G13,NA())</f>
        <v>#N/A</v>
      </c>
      <c r="Q13" t="e">
        <f>IF($E13="Cuidado Facial",$H13,NA())</f>
        <v>#N/A</v>
      </c>
      <c r="R13" t="e">
        <f>IF($E13="Capilar",$G13,NA())</f>
        <v>#N/A</v>
      </c>
      <c r="S13" t="e">
        <f>IF($E13="Capilar",$H13,NA())</f>
        <v>#N/A</v>
      </c>
      <c r="T13" s="6" t="str">
        <f t="shared" si="0"/>
        <v>Junio</v>
      </c>
    </row>
    <row r="14" spans="1:20" ht="15" customHeight="1" x14ac:dyDescent="0.25">
      <c r="A14" s="5">
        <v>46200</v>
      </c>
      <c r="B14" s="6" t="s">
        <v>34</v>
      </c>
      <c r="C14" s="6" t="s">
        <v>35</v>
      </c>
      <c r="D14" s="6" t="s">
        <v>45</v>
      </c>
      <c r="E14" s="6" t="s">
        <v>43</v>
      </c>
      <c r="F14" s="6">
        <v>8</v>
      </c>
      <c r="G14" s="7">
        <v>1096.44</v>
      </c>
      <c r="H14" s="7">
        <v>513.62</v>
      </c>
      <c r="I14" s="7">
        <v>8771.52</v>
      </c>
      <c r="J14" s="7">
        <v>4108.96</v>
      </c>
      <c r="K14" s="7">
        <v>4662.5600000000004</v>
      </c>
      <c r="L14" t="e">
        <f>IF($E14="Maquillaje",$G14,NA())</f>
        <v>#N/A</v>
      </c>
      <c r="M14" t="e">
        <f>IF($E14="Maquillaje",$H14,NA())</f>
        <v>#N/A</v>
      </c>
      <c r="N14" t="e">
        <f>IF($E14="Perfumería",$G14,NA())</f>
        <v>#N/A</v>
      </c>
      <c r="O14" t="e">
        <f>IF($E14="Perfumería",$H14,NA())</f>
        <v>#N/A</v>
      </c>
      <c r="P14" t="e">
        <f>IF($E14="Cuidado Facial",$G14,NA())</f>
        <v>#N/A</v>
      </c>
      <c r="Q14" t="e">
        <f>IF($E14="Cuidado Facial",$H14,NA())</f>
        <v>#N/A</v>
      </c>
      <c r="R14" s="8">
        <f>IF($E14="Capilar",$G14,NA())</f>
        <v>1096.44</v>
      </c>
      <c r="S14" s="8">
        <f>IF($E14="Capilar",$H14,NA())</f>
        <v>513.62</v>
      </c>
      <c r="T14" s="6" t="str">
        <f t="shared" si="0"/>
        <v>Junio</v>
      </c>
    </row>
    <row r="15" spans="1:20" ht="15" customHeight="1" x14ac:dyDescent="0.25">
      <c r="A15" s="5">
        <v>46377</v>
      </c>
      <c r="B15" s="6" t="s">
        <v>30</v>
      </c>
      <c r="C15" s="6" t="s">
        <v>48</v>
      </c>
      <c r="D15" s="6" t="s">
        <v>47</v>
      </c>
      <c r="E15" s="6" t="s">
        <v>33</v>
      </c>
      <c r="F15" s="6">
        <v>9</v>
      </c>
      <c r="G15" s="7">
        <v>3465.05</v>
      </c>
      <c r="H15" s="7">
        <v>1682.61</v>
      </c>
      <c r="I15" s="7">
        <v>31185.45</v>
      </c>
      <c r="J15" s="7">
        <v>15143.49</v>
      </c>
      <c r="K15" s="7">
        <v>16041.96</v>
      </c>
      <c r="L15" t="e">
        <f>IF($E15="Maquillaje",$G15,NA())</f>
        <v>#N/A</v>
      </c>
      <c r="M15" t="e">
        <f>IF($E15="Maquillaje",$H15,NA())</f>
        <v>#N/A</v>
      </c>
      <c r="N15" s="8">
        <f>IF($E15="Perfumería",$G15,NA())</f>
        <v>3465.05</v>
      </c>
      <c r="O15" s="8">
        <f>IF($E15="Perfumería",$H15,NA())</f>
        <v>1682.61</v>
      </c>
      <c r="P15" t="e">
        <f>IF($E15="Cuidado Facial",$G15,NA())</f>
        <v>#N/A</v>
      </c>
      <c r="Q15" t="e">
        <f>IF($E15="Cuidado Facial",$H15,NA())</f>
        <v>#N/A</v>
      </c>
      <c r="R15" t="e">
        <f>IF($E15="Capilar",$G15,NA())</f>
        <v>#N/A</v>
      </c>
      <c r="S15" t="e">
        <f>IF($E15="Capilar",$H15,NA())</f>
        <v>#N/A</v>
      </c>
      <c r="T15" s="6" t="str">
        <f t="shared" si="0"/>
        <v>Diciembre</v>
      </c>
    </row>
    <row r="16" spans="1:20" ht="15" customHeight="1" x14ac:dyDescent="0.25">
      <c r="A16" s="5">
        <v>46156</v>
      </c>
      <c r="B16" s="6" t="s">
        <v>30</v>
      </c>
      <c r="C16" s="6" t="s">
        <v>48</v>
      </c>
      <c r="D16" s="6" t="s">
        <v>49</v>
      </c>
      <c r="E16" s="6" t="s">
        <v>40</v>
      </c>
      <c r="F16" s="6">
        <v>4</v>
      </c>
      <c r="G16" s="7">
        <v>1840.76</v>
      </c>
      <c r="H16" s="7">
        <v>951.91</v>
      </c>
      <c r="I16" s="7">
        <v>7363.04</v>
      </c>
      <c r="J16" s="7">
        <v>3807.64</v>
      </c>
      <c r="K16" s="7">
        <v>3555.4</v>
      </c>
      <c r="L16" t="e">
        <f>IF($E16="Maquillaje",$G16,NA())</f>
        <v>#N/A</v>
      </c>
      <c r="M16" t="e">
        <f>IF($E16="Maquillaje",$H16,NA())</f>
        <v>#N/A</v>
      </c>
      <c r="N16" t="e">
        <f>IF($E16="Perfumería",$G16,NA())</f>
        <v>#N/A</v>
      </c>
      <c r="O16" t="e">
        <f>IF($E16="Perfumería",$H16,NA())</f>
        <v>#N/A</v>
      </c>
      <c r="P16" s="8">
        <f>IF($E16="Cuidado Facial",$G16,NA())</f>
        <v>1840.76</v>
      </c>
      <c r="Q16" s="8">
        <f>IF($E16="Cuidado Facial",$H16,NA())</f>
        <v>951.91</v>
      </c>
      <c r="R16" t="e">
        <f>IF($E16="Capilar",$G16,NA())</f>
        <v>#N/A</v>
      </c>
      <c r="S16" t="e">
        <f>IF($E16="Capilar",$H16,NA())</f>
        <v>#N/A</v>
      </c>
      <c r="T16" s="6" t="str">
        <f t="shared" si="0"/>
        <v>Mayo</v>
      </c>
    </row>
    <row r="17" spans="1:20" ht="15" customHeight="1" x14ac:dyDescent="0.25">
      <c r="A17" s="5">
        <v>46228</v>
      </c>
      <c r="B17" s="6" t="s">
        <v>30</v>
      </c>
      <c r="C17" s="6" t="s">
        <v>48</v>
      </c>
      <c r="D17" s="6" t="s">
        <v>49</v>
      </c>
      <c r="E17" s="6" t="s">
        <v>40</v>
      </c>
      <c r="F17" s="6">
        <v>1</v>
      </c>
      <c r="G17" s="7">
        <v>1976.26</v>
      </c>
      <c r="H17" s="7">
        <v>952.22</v>
      </c>
      <c r="I17" s="7">
        <v>1976.26</v>
      </c>
      <c r="J17" s="7">
        <v>952.22</v>
      </c>
      <c r="K17" s="7">
        <v>1024.04</v>
      </c>
      <c r="L17" t="e">
        <f>IF($E17="Maquillaje",$G17,NA())</f>
        <v>#N/A</v>
      </c>
      <c r="M17" t="e">
        <f>IF($E17="Maquillaje",$H17,NA())</f>
        <v>#N/A</v>
      </c>
      <c r="N17" t="e">
        <f>IF($E17="Perfumería",$G17,NA())</f>
        <v>#N/A</v>
      </c>
      <c r="O17" t="e">
        <f>IF($E17="Perfumería",$H17,NA())</f>
        <v>#N/A</v>
      </c>
      <c r="P17" s="8">
        <f>IF($E17="Cuidado Facial",$G17,NA())</f>
        <v>1976.26</v>
      </c>
      <c r="Q17" s="8">
        <f>IF($E17="Cuidado Facial",$H17,NA())</f>
        <v>952.22</v>
      </c>
      <c r="R17" t="e">
        <f>IF($E17="Capilar",$G17,NA())</f>
        <v>#N/A</v>
      </c>
      <c r="S17" t="e">
        <f>IF($E17="Capilar",$H17,NA())</f>
        <v>#N/A</v>
      </c>
      <c r="T17" s="6" t="str">
        <f t="shared" si="0"/>
        <v>Julio</v>
      </c>
    </row>
    <row r="18" spans="1:20" ht="15" customHeight="1" x14ac:dyDescent="0.25">
      <c r="A18" s="5">
        <v>46199</v>
      </c>
      <c r="B18" s="6" t="s">
        <v>46</v>
      </c>
      <c r="C18" s="6" t="s">
        <v>31</v>
      </c>
      <c r="D18" s="6" t="s">
        <v>36</v>
      </c>
      <c r="E18" s="6" t="s">
        <v>37</v>
      </c>
      <c r="F18" s="6">
        <v>2</v>
      </c>
      <c r="G18" s="7">
        <v>1370.79</v>
      </c>
      <c r="H18" s="7">
        <v>732.69</v>
      </c>
      <c r="I18" s="7">
        <v>2741.58</v>
      </c>
      <c r="J18" s="7">
        <v>1465.38</v>
      </c>
      <c r="K18" s="7">
        <v>1276.2</v>
      </c>
      <c r="L18" s="8">
        <f>IF($E18="Maquillaje",$G18,NA())</f>
        <v>1370.79</v>
      </c>
      <c r="M18" s="8">
        <f>IF($E18="Maquillaje",$H18,NA())</f>
        <v>732.69</v>
      </c>
      <c r="N18" t="e">
        <f>IF($E18="Perfumería",$G18,NA())</f>
        <v>#N/A</v>
      </c>
      <c r="O18" t="e">
        <f>IF($E18="Perfumería",$H18,NA())</f>
        <v>#N/A</v>
      </c>
      <c r="P18" t="e">
        <f>IF($E18="Cuidado Facial",$G18,NA())</f>
        <v>#N/A</v>
      </c>
      <c r="Q18" t="e">
        <f>IF($E18="Cuidado Facial",$H18,NA())</f>
        <v>#N/A</v>
      </c>
      <c r="R18" t="e">
        <f>IF($E18="Capilar",$G18,NA())</f>
        <v>#N/A</v>
      </c>
      <c r="S18" t="e">
        <f>IF($E18="Capilar",$H18,NA())</f>
        <v>#N/A</v>
      </c>
      <c r="T18" s="6" t="str">
        <f t="shared" si="0"/>
        <v>Junio</v>
      </c>
    </row>
    <row r="19" spans="1:20" ht="15" customHeight="1" x14ac:dyDescent="0.25">
      <c r="A19" s="5">
        <v>46023</v>
      </c>
      <c r="B19" s="6" t="s">
        <v>38</v>
      </c>
      <c r="C19" s="6" t="s">
        <v>31</v>
      </c>
      <c r="D19" s="6" t="s">
        <v>36</v>
      </c>
      <c r="E19" s="6" t="s">
        <v>37</v>
      </c>
      <c r="F19" s="6">
        <v>13</v>
      </c>
      <c r="G19" s="7">
        <v>1511.33</v>
      </c>
      <c r="H19" s="7">
        <v>733.09</v>
      </c>
      <c r="I19" s="7">
        <v>19647.29</v>
      </c>
      <c r="J19" s="7">
        <v>9530.17</v>
      </c>
      <c r="K19" s="7">
        <v>10117.120000000001</v>
      </c>
      <c r="L19" s="8">
        <f>IF($E19="Maquillaje",$G19,NA())</f>
        <v>1511.33</v>
      </c>
      <c r="M19" s="8">
        <f>IF($E19="Maquillaje",$H19,NA())</f>
        <v>733.09</v>
      </c>
      <c r="N19" t="e">
        <f>IF($E19="Perfumería",$G19,NA())</f>
        <v>#N/A</v>
      </c>
      <c r="O19" t="e">
        <f>IF($E19="Perfumería",$H19,NA())</f>
        <v>#N/A</v>
      </c>
      <c r="P19" t="e">
        <f>IF($E19="Cuidado Facial",$G19,NA())</f>
        <v>#N/A</v>
      </c>
      <c r="Q19" t="e">
        <f>IF($E19="Cuidado Facial",$H19,NA())</f>
        <v>#N/A</v>
      </c>
      <c r="R19" t="e">
        <f>IF($E19="Capilar",$G19,NA())</f>
        <v>#N/A</v>
      </c>
      <c r="S19" t="e">
        <f>IF($E19="Capilar",$H19,NA())</f>
        <v>#N/A</v>
      </c>
      <c r="T19" s="6" t="str">
        <f t="shared" si="0"/>
        <v>Enero</v>
      </c>
    </row>
    <row r="20" spans="1:20" ht="15" customHeight="1" x14ac:dyDescent="0.25">
      <c r="A20" s="5">
        <v>46067</v>
      </c>
      <c r="B20" s="6" t="s">
        <v>46</v>
      </c>
      <c r="C20" s="6" t="s">
        <v>31</v>
      </c>
      <c r="D20" s="6" t="s">
        <v>42</v>
      </c>
      <c r="E20" s="6" t="s">
        <v>43</v>
      </c>
      <c r="F20" s="6">
        <v>2</v>
      </c>
      <c r="G20" s="7">
        <v>992.71</v>
      </c>
      <c r="H20" s="7">
        <v>448.32</v>
      </c>
      <c r="I20" s="7">
        <v>1985.42</v>
      </c>
      <c r="J20" s="7">
        <v>896.64</v>
      </c>
      <c r="K20" s="7">
        <v>1088.78</v>
      </c>
      <c r="L20" t="e">
        <f>IF($E20="Maquillaje",$G20,NA())</f>
        <v>#N/A</v>
      </c>
      <c r="M20" t="e">
        <f>IF($E20="Maquillaje",$H20,NA())</f>
        <v>#N/A</v>
      </c>
      <c r="N20" t="e">
        <f>IF($E20="Perfumería",$G20,NA())</f>
        <v>#N/A</v>
      </c>
      <c r="O20" t="e">
        <f>IF($E20="Perfumería",$H20,NA())</f>
        <v>#N/A</v>
      </c>
      <c r="P20" t="e">
        <f>IF($E20="Cuidado Facial",$G20,NA())</f>
        <v>#N/A</v>
      </c>
      <c r="Q20" t="e">
        <f>IF($E20="Cuidado Facial",$H20,NA())</f>
        <v>#N/A</v>
      </c>
      <c r="R20" s="8">
        <f>IF($E20="Capilar",$G20,NA())</f>
        <v>992.71</v>
      </c>
      <c r="S20" s="8">
        <f>IF($E20="Capilar",$H20,NA())</f>
        <v>448.32</v>
      </c>
      <c r="T20" s="6" t="str">
        <f t="shared" si="0"/>
        <v>Febrero</v>
      </c>
    </row>
    <row r="21" spans="1:20" ht="15" customHeight="1" x14ac:dyDescent="0.25">
      <c r="A21" s="5">
        <v>46358</v>
      </c>
      <c r="B21" s="6" t="s">
        <v>46</v>
      </c>
      <c r="C21" s="6" t="s">
        <v>31</v>
      </c>
      <c r="D21" s="6" t="s">
        <v>47</v>
      </c>
      <c r="E21" s="6" t="s">
        <v>33</v>
      </c>
      <c r="F21" s="6">
        <v>9</v>
      </c>
      <c r="G21" s="7">
        <v>2963.83</v>
      </c>
      <c r="H21" s="7">
        <v>1444.56</v>
      </c>
      <c r="I21" s="7">
        <v>26674.47</v>
      </c>
      <c r="J21" s="7">
        <v>13001.04</v>
      </c>
      <c r="K21" s="7">
        <v>13673.43</v>
      </c>
      <c r="L21" t="e">
        <f>IF($E21="Maquillaje",$G21,NA())</f>
        <v>#N/A</v>
      </c>
      <c r="M21" t="e">
        <f>IF($E21="Maquillaje",$H21,NA())</f>
        <v>#N/A</v>
      </c>
      <c r="N21" s="8">
        <f>IF($E21="Perfumería",$G21,NA())</f>
        <v>2963.83</v>
      </c>
      <c r="O21" s="8">
        <f>IF($E21="Perfumería",$H21,NA())</f>
        <v>1444.56</v>
      </c>
      <c r="P21" t="e">
        <f>IF($E21="Cuidado Facial",$G21,NA())</f>
        <v>#N/A</v>
      </c>
      <c r="Q21" t="e">
        <f>IF($E21="Cuidado Facial",$H21,NA())</f>
        <v>#N/A</v>
      </c>
      <c r="R21" t="e">
        <f>IF($E21="Capilar",$G21,NA())</f>
        <v>#N/A</v>
      </c>
      <c r="S21" t="e">
        <f>IF($E21="Capilar",$H21,NA())</f>
        <v>#N/A</v>
      </c>
      <c r="T21" s="6" t="str">
        <f t="shared" si="0"/>
        <v>Diciembre</v>
      </c>
    </row>
    <row r="22" spans="1:20" ht="15" customHeight="1" x14ac:dyDescent="0.25">
      <c r="A22" s="5">
        <v>46094</v>
      </c>
      <c r="B22" s="6" t="s">
        <v>30</v>
      </c>
      <c r="C22" s="6" t="s">
        <v>31</v>
      </c>
      <c r="D22" s="6" t="s">
        <v>44</v>
      </c>
      <c r="E22" s="6" t="s">
        <v>37</v>
      </c>
      <c r="F22" s="6">
        <v>4</v>
      </c>
      <c r="G22" s="7">
        <v>1150.31</v>
      </c>
      <c r="H22" s="7">
        <v>616.27</v>
      </c>
      <c r="I22" s="7">
        <v>4601.24</v>
      </c>
      <c r="J22" s="7">
        <v>2465.08</v>
      </c>
      <c r="K22" s="7">
        <v>2136.16</v>
      </c>
      <c r="L22" s="8">
        <f>IF($E22="Maquillaje",$G22,NA())</f>
        <v>1150.31</v>
      </c>
      <c r="M22" s="8">
        <f>IF($E22="Maquillaje",$H22,NA())</f>
        <v>616.27</v>
      </c>
      <c r="N22" t="e">
        <f>IF($E22="Perfumería",$G22,NA())</f>
        <v>#N/A</v>
      </c>
      <c r="O22" t="e">
        <f>IF($E22="Perfumería",$H22,NA())</f>
        <v>#N/A</v>
      </c>
      <c r="P22" t="e">
        <f>IF($E22="Cuidado Facial",$G22,NA())</f>
        <v>#N/A</v>
      </c>
      <c r="Q22" t="e">
        <f>IF($E22="Cuidado Facial",$H22,NA())</f>
        <v>#N/A</v>
      </c>
      <c r="R22" t="e">
        <f>IF($E22="Capilar",$G22,NA())</f>
        <v>#N/A</v>
      </c>
      <c r="S22" t="e">
        <f>IF($E22="Capilar",$H22,NA())</f>
        <v>#N/A</v>
      </c>
      <c r="T22" s="6" t="str">
        <f t="shared" si="0"/>
        <v>Marzo</v>
      </c>
    </row>
    <row r="23" spans="1:20" ht="15" customHeight="1" x14ac:dyDescent="0.25">
      <c r="A23" s="5">
        <v>46025</v>
      </c>
      <c r="B23" s="6" t="s">
        <v>30</v>
      </c>
      <c r="C23" s="6" t="s">
        <v>48</v>
      </c>
      <c r="D23" s="6" t="s">
        <v>45</v>
      </c>
      <c r="E23" s="6" t="s">
        <v>43</v>
      </c>
      <c r="F23" s="6">
        <v>12</v>
      </c>
      <c r="G23" s="7">
        <v>1016.47</v>
      </c>
      <c r="H23" s="7">
        <v>510.92</v>
      </c>
      <c r="I23" s="7">
        <v>12197.64</v>
      </c>
      <c r="J23" s="7">
        <v>6131.04</v>
      </c>
      <c r="K23" s="7">
        <v>6066.6</v>
      </c>
      <c r="L23" t="e">
        <f>IF($E23="Maquillaje",$G23,NA())</f>
        <v>#N/A</v>
      </c>
      <c r="M23" t="e">
        <f>IF($E23="Maquillaje",$H23,NA())</f>
        <v>#N/A</v>
      </c>
      <c r="N23" t="e">
        <f>IF($E23="Perfumería",$G23,NA())</f>
        <v>#N/A</v>
      </c>
      <c r="O23" t="e">
        <f>IF($E23="Perfumería",$H23,NA())</f>
        <v>#N/A</v>
      </c>
      <c r="P23" t="e">
        <f>IF($E23="Cuidado Facial",$G23,NA())</f>
        <v>#N/A</v>
      </c>
      <c r="Q23" t="e">
        <f>IF($E23="Cuidado Facial",$H23,NA())</f>
        <v>#N/A</v>
      </c>
      <c r="R23" s="8">
        <f>IF($E23="Capilar",$G23,NA())</f>
        <v>1016.47</v>
      </c>
      <c r="S23" s="8">
        <f>IF($E23="Capilar",$H23,NA())</f>
        <v>510.92</v>
      </c>
      <c r="T23" s="6" t="str">
        <f t="shared" si="0"/>
        <v>Enero</v>
      </c>
    </row>
    <row r="24" spans="1:20" ht="15" customHeight="1" x14ac:dyDescent="0.25">
      <c r="A24" s="5">
        <v>46189</v>
      </c>
      <c r="B24" s="6" t="s">
        <v>46</v>
      </c>
      <c r="C24" s="6" t="s">
        <v>31</v>
      </c>
      <c r="D24" s="6" t="s">
        <v>45</v>
      </c>
      <c r="E24" s="6" t="s">
        <v>43</v>
      </c>
      <c r="F24" s="6">
        <v>9</v>
      </c>
      <c r="G24" s="7">
        <v>1167.6199999999999</v>
      </c>
      <c r="H24" s="7">
        <v>560.87</v>
      </c>
      <c r="I24" s="7">
        <v>10508.58</v>
      </c>
      <c r="J24" s="7">
        <v>5047.83</v>
      </c>
      <c r="K24" s="7">
        <v>5460.75</v>
      </c>
      <c r="L24" t="e">
        <f>IF($E24="Maquillaje",$G24,NA())</f>
        <v>#N/A</v>
      </c>
      <c r="M24" t="e">
        <f>IF($E24="Maquillaje",$H24,NA())</f>
        <v>#N/A</v>
      </c>
      <c r="N24" t="e">
        <f>IF($E24="Perfumería",$G24,NA())</f>
        <v>#N/A</v>
      </c>
      <c r="O24" t="e">
        <f>IF($E24="Perfumería",$H24,NA())</f>
        <v>#N/A</v>
      </c>
      <c r="P24" t="e">
        <f>IF($E24="Cuidado Facial",$G24,NA())</f>
        <v>#N/A</v>
      </c>
      <c r="Q24" t="e">
        <f>IF($E24="Cuidado Facial",$H24,NA())</f>
        <v>#N/A</v>
      </c>
      <c r="R24" s="8">
        <f>IF($E24="Capilar",$G24,NA())</f>
        <v>1167.6199999999999</v>
      </c>
      <c r="S24" s="8">
        <f>IF($E24="Capilar",$H24,NA())</f>
        <v>560.87</v>
      </c>
      <c r="T24" s="6" t="str">
        <f t="shared" si="0"/>
        <v>Junio</v>
      </c>
    </row>
    <row r="25" spans="1:20" ht="15" customHeight="1" x14ac:dyDescent="0.25">
      <c r="A25" s="5">
        <v>46155</v>
      </c>
      <c r="B25" s="6" t="s">
        <v>30</v>
      </c>
      <c r="C25" s="6" t="s">
        <v>31</v>
      </c>
      <c r="D25" s="6" t="s">
        <v>47</v>
      </c>
      <c r="E25" s="6" t="s">
        <v>33</v>
      </c>
      <c r="F25" s="6">
        <v>2</v>
      </c>
      <c r="G25" s="7">
        <v>3131.11</v>
      </c>
      <c r="H25" s="7">
        <v>1541.11</v>
      </c>
      <c r="I25" s="7">
        <v>6262.22</v>
      </c>
      <c r="J25" s="7">
        <v>3082.22</v>
      </c>
      <c r="K25" s="7">
        <v>3180</v>
      </c>
      <c r="L25" t="e">
        <f>IF($E25="Maquillaje",$G25,NA())</f>
        <v>#N/A</v>
      </c>
      <c r="M25" t="e">
        <f>IF($E25="Maquillaje",$H25,NA())</f>
        <v>#N/A</v>
      </c>
      <c r="N25">
        <f>IF($E25="Perfumería",$G25,NA())</f>
        <v>3131.11</v>
      </c>
      <c r="O25">
        <f>IF($E25="Perfumería",$H25,NA())</f>
        <v>1541.11</v>
      </c>
      <c r="P25" t="e">
        <f>IF($E25="Cuidado Facial",$G25,NA())</f>
        <v>#N/A</v>
      </c>
      <c r="Q25" t="e">
        <f>IF($E25="Cuidado Facial",$H25,NA())</f>
        <v>#N/A</v>
      </c>
      <c r="R25" t="e">
        <f>IF($E25="Capilar",$G25,NA())</f>
        <v>#N/A</v>
      </c>
      <c r="S25" t="e">
        <f>IF($E25="Capilar",$H25,NA())</f>
        <v>#N/A</v>
      </c>
      <c r="T25" s="6" t="str">
        <f t="shared" si="0"/>
        <v>Mayo</v>
      </c>
    </row>
    <row r="26" spans="1:20" ht="15" customHeight="1" x14ac:dyDescent="0.25">
      <c r="A26" s="5">
        <v>46178</v>
      </c>
      <c r="B26" s="6" t="s">
        <v>30</v>
      </c>
      <c r="C26" s="6" t="s">
        <v>31</v>
      </c>
      <c r="D26" s="6" t="s">
        <v>47</v>
      </c>
      <c r="E26" s="6" t="s">
        <v>33</v>
      </c>
      <c r="F26" s="6">
        <v>15</v>
      </c>
      <c r="G26" s="7">
        <v>2967.84</v>
      </c>
      <c r="H26" s="7">
        <v>1589.68</v>
      </c>
      <c r="I26" s="7">
        <v>44517.599999999999</v>
      </c>
      <c r="J26" s="7">
        <v>23845.200000000001</v>
      </c>
      <c r="K26" s="7">
        <v>20672.400000000001</v>
      </c>
      <c r="L26" t="e">
        <f>IF($E26="Maquillaje",$G26,NA())</f>
        <v>#N/A</v>
      </c>
      <c r="M26" t="e">
        <f>IF($E26="Maquillaje",$H26,NA())</f>
        <v>#N/A</v>
      </c>
      <c r="N26">
        <f>IF($E26="Perfumería",$G26,NA())</f>
        <v>2967.84</v>
      </c>
      <c r="O26">
        <f>IF($E26="Perfumería",$H26,NA())</f>
        <v>1589.68</v>
      </c>
      <c r="P26" t="e">
        <f>IF($E26="Cuidado Facial",$G26,NA())</f>
        <v>#N/A</v>
      </c>
      <c r="Q26" t="e">
        <f>IF($E26="Cuidado Facial",$H26,NA())</f>
        <v>#N/A</v>
      </c>
      <c r="R26" t="e">
        <f>IF($E26="Capilar",$G26,NA())</f>
        <v>#N/A</v>
      </c>
      <c r="S26" t="e">
        <f>IF($E26="Capilar",$H26,NA())</f>
        <v>#N/A</v>
      </c>
      <c r="T26" s="6" t="str">
        <f t="shared" si="0"/>
        <v>Junio</v>
      </c>
    </row>
    <row r="27" spans="1:20" ht="15" customHeight="1" x14ac:dyDescent="0.25">
      <c r="A27" s="5">
        <v>46115</v>
      </c>
      <c r="B27" s="6" t="s">
        <v>30</v>
      </c>
      <c r="C27" s="6" t="s">
        <v>31</v>
      </c>
      <c r="D27" s="6" t="s">
        <v>39</v>
      </c>
      <c r="E27" s="6" t="s">
        <v>40</v>
      </c>
      <c r="F27" s="6">
        <v>3</v>
      </c>
      <c r="G27" s="7">
        <v>2115.37</v>
      </c>
      <c r="H27" s="7">
        <v>1053.0999999999999</v>
      </c>
      <c r="I27" s="7">
        <v>6346.11</v>
      </c>
      <c r="J27" s="7">
        <v>3159.3</v>
      </c>
      <c r="K27" s="7">
        <v>3186.81</v>
      </c>
      <c r="L27" t="e">
        <f>IF($E27="Maquillaje",$G27,NA())</f>
        <v>#N/A</v>
      </c>
      <c r="M27" t="e">
        <f>IF($E27="Maquillaje",$H27,NA())</f>
        <v>#N/A</v>
      </c>
      <c r="N27" t="e">
        <f>IF($E27="Perfumería",$G27,NA())</f>
        <v>#N/A</v>
      </c>
      <c r="O27" t="e">
        <f>IF($E27="Perfumería",$H27,NA())</f>
        <v>#N/A</v>
      </c>
      <c r="P27" s="8">
        <f>IF($E27="Cuidado Facial",$G27,NA())</f>
        <v>2115.37</v>
      </c>
      <c r="Q27" s="8">
        <f>IF($E27="Cuidado Facial",$H27,NA())</f>
        <v>1053.0999999999999</v>
      </c>
      <c r="R27" t="e">
        <f>IF($E27="Capilar",$G27,NA())</f>
        <v>#N/A</v>
      </c>
      <c r="S27" t="e">
        <f>IF($E27="Capilar",$H27,NA())</f>
        <v>#N/A</v>
      </c>
      <c r="T27" s="6" t="str">
        <f t="shared" si="0"/>
        <v>Abril</v>
      </c>
    </row>
    <row r="28" spans="1:20" ht="15" customHeight="1" x14ac:dyDescent="0.25">
      <c r="A28" s="5">
        <v>46306</v>
      </c>
      <c r="B28" s="6" t="s">
        <v>34</v>
      </c>
      <c r="C28" s="6" t="s">
        <v>35</v>
      </c>
      <c r="D28" s="6" t="s">
        <v>32</v>
      </c>
      <c r="E28" s="6" t="s">
        <v>33</v>
      </c>
      <c r="F28" s="6">
        <v>3</v>
      </c>
      <c r="G28" s="7">
        <v>3238.09</v>
      </c>
      <c r="H28" s="7">
        <v>1638.4</v>
      </c>
      <c r="I28" s="7">
        <v>9714.27</v>
      </c>
      <c r="J28" s="7">
        <v>4915.2</v>
      </c>
      <c r="K28" s="7">
        <v>4799.07</v>
      </c>
      <c r="L28" t="e">
        <f>IF($E28="Maquillaje",$G28,NA())</f>
        <v>#N/A</v>
      </c>
      <c r="M28" t="e">
        <f>IF($E28="Maquillaje",$H28,NA())</f>
        <v>#N/A</v>
      </c>
      <c r="N28" s="8">
        <f>IF($E28="Perfumería",$G28,NA())</f>
        <v>3238.09</v>
      </c>
      <c r="O28" s="8">
        <f>IF($E28="Perfumería",$H28,NA())</f>
        <v>1638.4</v>
      </c>
      <c r="P28" t="e">
        <f>IF($E28="Cuidado Facial",$G28,NA())</f>
        <v>#N/A</v>
      </c>
      <c r="Q28" t="e">
        <f>IF($E28="Cuidado Facial",$H28,NA())</f>
        <v>#N/A</v>
      </c>
      <c r="R28" t="e">
        <f>IF($E28="Capilar",$G28,NA())</f>
        <v>#N/A</v>
      </c>
      <c r="S28" t="e">
        <f>IF($E28="Capilar",$H28,NA())</f>
        <v>#N/A</v>
      </c>
      <c r="T28" s="6" t="str">
        <f t="shared" si="0"/>
        <v>Octubre</v>
      </c>
    </row>
    <row r="29" spans="1:20" ht="15" customHeight="1" x14ac:dyDescent="0.25">
      <c r="A29" s="5">
        <v>46128</v>
      </c>
      <c r="B29" s="6" t="s">
        <v>46</v>
      </c>
      <c r="C29" s="6" t="s">
        <v>31</v>
      </c>
      <c r="D29" s="6" t="s">
        <v>49</v>
      </c>
      <c r="E29" s="6" t="s">
        <v>40</v>
      </c>
      <c r="F29" s="6">
        <v>5</v>
      </c>
      <c r="G29" s="7">
        <v>1633.3</v>
      </c>
      <c r="H29" s="7">
        <v>813.32</v>
      </c>
      <c r="I29" s="7">
        <v>8166.5</v>
      </c>
      <c r="J29" s="7">
        <v>4066.6</v>
      </c>
      <c r="K29" s="7">
        <v>4099.8999999999996</v>
      </c>
      <c r="L29" t="e">
        <f>IF($E29="Maquillaje",$G29,NA())</f>
        <v>#N/A</v>
      </c>
      <c r="M29" t="e">
        <f>IF($E29="Maquillaje",$H29,NA())</f>
        <v>#N/A</v>
      </c>
      <c r="N29" t="e">
        <f>IF($E29="Perfumería",$G29,NA())</f>
        <v>#N/A</v>
      </c>
      <c r="O29" t="e">
        <f>IF($E29="Perfumería",$H29,NA())</f>
        <v>#N/A</v>
      </c>
      <c r="P29" s="8">
        <f>IF($E29="Cuidado Facial",$G29,NA())</f>
        <v>1633.3</v>
      </c>
      <c r="Q29" s="8">
        <f>IF($E29="Cuidado Facial",$H29,NA())</f>
        <v>813.32</v>
      </c>
      <c r="R29" t="e">
        <f>IF($E29="Capilar",$G29,NA())</f>
        <v>#N/A</v>
      </c>
      <c r="S29" t="e">
        <f>IF($E29="Capilar",$H29,NA())</f>
        <v>#N/A</v>
      </c>
      <c r="T29" s="6" t="str">
        <f t="shared" si="0"/>
        <v>Abril</v>
      </c>
    </row>
    <row r="30" spans="1:20" ht="15" customHeight="1" x14ac:dyDescent="0.25">
      <c r="A30" s="5">
        <v>46148</v>
      </c>
      <c r="B30" s="6" t="s">
        <v>30</v>
      </c>
      <c r="C30" s="6" t="s">
        <v>31</v>
      </c>
      <c r="D30" s="6" t="s">
        <v>45</v>
      </c>
      <c r="E30" s="6" t="s">
        <v>43</v>
      </c>
      <c r="F30" s="6">
        <v>14</v>
      </c>
      <c r="G30" s="7">
        <v>1185.52</v>
      </c>
      <c r="H30" s="7">
        <v>612.66999999999996</v>
      </c>
      <c r="I30" s="7">
        <v>16597.28</v>
      </c>
      <c r="J30" s="7">
        <v>8577.3799999999992</v>
      </c>
      <c r="K30" s="7">
        <v>8019.9</v>
      </c>
      <c r="L30" t="e">
        <f>IF($E30="Maquillaje",$G30,NA())</f>
        <v>#N/A</v>
      </c>
      <c r="M30" t="e">
        <f>IF($E30="Maquillaje",$H30,NA())</f>
        <v>#N/A</v>
      </c>
      <c r="N30" t="e">
        <f>IF($E30="Perfumería",$G30,NA())</f>
        <v>#N/A</v>
      </c>
      <c r="O30" t="e">
        <f>IF($E30="Perfumería",$H30,NA())</f>
        <v>#N/A</v>
      </c>
      <c r="P30" t="e">
        <f>IF($E30="Cuidado Facial",$G30,NA())</f>
        <v>#N/A</v>
      </c>
      <c r="Q30" t="e">
        <f>IF($E30="Cuidado Facial",$H30,NA())</f>
        <v>#N/A</v>
      </c>
      <c r="R30" s="8">
        <f>IF($E30="Capilar",$G30,NA())</f>
        <v>1185.52</v>
      </c>
      <c r="S30" s="8">
        <f>IF($E30="Capilar",$H30,NA())</f>
        <v>612.66999999999996</v>
      </c>
      <c r="T30" s="6" t="str">
        <f t="shared" si="0"/>
        <v>Mayo</v>
      </c>
    </row>
    <row r="31" spans="1:20" ht="15" customHeight="1" x14ac:dyDescent="0.25">
      <c r="A31" s="5">
        <v>46124</v>
      </c>
      <c r="B31" s="6" t="s">
        <v>46</v>
      </c>
      <c r="C31" s="6" t="s">
        <v>31</v>
      </c>
      <c r="D31" s="6" t="s">
        <v>49</v>
      </c>
      <c r="E31" s="6" t="s">
        <v>40</v>
      </c>
      <c r="F31" s="6">
        <v>14</v>
      </c>
      <c r="G31" s="7">
        <v>1666.73</v>
      </c>
      <c r="H31" s="7">
        <v>822.73</v>
      </c>
      <c r="I31" s="7">
        <v>23334.22</v>
      </c>
      <c r="J31" s="7">
        <v>11518.22</v>
      </c>
      <c r="K31" s="7">
        <v>11816</v>
      </c>
      <c r="L31" t="e">
        <f>IF($E31="Maquillaje",$G31,NA())</f>
        <v>#N/A</v>
      </c>
      <c r="M31" t="e">
        <f>IF($E31="Maquillaje",$H31,NA())</f>
        <v>#N/A</v>
      </c>
      <c r="N31" t="e">
        <f>IF($E31="Perfumería",$G31,NA())</f>
        <v>#N/A</v>
      </c>
      <c r="O31" t="e">
        <f>IF($E31="Perfumería",$H31,NA())</f>
        <v>#N/A</v>
      </c>
      <c r="P31" s="8">
        <f>IF($E31="Cuidado Facial",$G31,NA())</f>
        <v>1666.73</v>
      </c>
      <c r="Q31" s="8">
        <f>IF($E31="Cuidado Facial",$H31,NA())</f>
        <v>822.73</v>
      </c>
      <c r="R31" t="e">
        <f>IF($E31="Capilar",$G31,NA())</f>
        <v>#N/A</v>
      </c>
      <c r="S31" t="e">
        <f>IF($E31="Capilar",$H31,NA())</f>
        <v>#N/A</v>
      </c>
      <c r="T31" s="6" t="str">
        <f t="shared" si="0"/>
        <v>Abril</v>
      </c>
    </row>
    <row r="32" spans="1:20" ht="15" customHeight="1" x14ac:dyDescent="0.25">
      <c r="A32" s="5">
        <v>46303</v>
      </c>
      <c r="B32" s="6" t="s">
        <v>30</v>
      </c>
      <c r="C32" s="6" t="s">
        <v>48</v>
      </c>
      <c r="D32" s="6" t="s">
        <v>49</v>
      </c>
      <c r="E32" s="6" t="s">
        <v>40</v>
      </c>
      <c r="F32" s="6">
        <v>1</v>
      </c>
      <c r="G32" s="7">
        <v>1740.72</v>
      </c>
      <c r="H32" s="7">
        <v>825.1</v>
      </c>
      <c r="I32" s="7">
        <v>1740.72</v>
      </c>
      <c r="J32" s="7">
        <v>825.1</v>
      </c>
      <c r="K32" s="7">
        <v>915.62</v>
      </c>
      <c r="L32" t="e">
        <f>IF($E32="Maquillaje",$G32,NA())</f>
        <v>#N/A</v>
      </c>
      <c r="M32" t="e">
        <f>IF($E32="Maquillaje",$H32,NA())</f>
        <v>#N/A</v>
      </c>
      <c r="N32" t="e">
        <f>IF($E32="Perfumería",$G32,NA())</f>
        <v>#N/A</v>
      </c>
      <c r="O32" t="e">
        <f>IF($E32="Perfumería",$H32,NA())</f>
        <v>#N/A</v>
      </c>
      <c r="P32" s="8">
        <f>IF($E32="Cuidado Facial",$G32,NA())</f>
        <v>1740.72</v>
      </c>
      <c r="Q32" s="8">
        <f>IF($E32="Cuidado Facial",$H32,NA())</f>
        <v>825.1</v>
      </c>
      <c r="R32" t="e">
        <f>IF($E32="Capilar",$G32,NA())</f>
        <v>#N/A</v>
      </c>
      <c r="S32" t="e">
        <f>IF($E32="Capilar",$H32,NA())</f>
        <v>#N/A</v>
      </c>
      <c r="T32" s="6" t="str">
        <f t="shared" si="0"/>
        <v>Octubre</v>
      </c>
    </row>
    <row r="33" spans="1:20" ht="15" customHeight="1" x14ac:dyDescent="0.25">
      <c r="A33" s="5">
        <v>46025</v>
      </c>
      <c r="B33" s="6" t="s">
        <v>30</v>
      </c>
      <c r="C33" s="6" t="s">
        <v>48</v>
      </c>
      <c r="D33" s="6" t="s">
        <v>44</v>
      </c>
      <c r="E33" s="6" t="s">
        <v>37</v>
      </c>
      <c r="F33" s="6">
        <v>1</v>
      </c>
      <c r="G33" s="7">
        <v>1151.92</v>
      </c>
      <c r="H33" s="7">
        <v>666.86</v>
      </c>
      <c r="I33" s="7">
        <v>1151.92</v>
      </c>
      <c r="J33" s="7">
        <v>666.86</v>
      </c>
      <c r="K33" s="7">
        <v>485.06</v>
      </c>
      <c r="L33" s="8">
        <f>IF($E33="Maquillaje",$G33,NA())</f>
        <v>1151.92</v>
      </c>
      <c r="M33" s="8">
        <f>IF($E33="Maquillaje",$H33,NA())</f>
        <v>666.86</v>
      </c>
      <c r="N33" t="e">
        <f>IF($E33="Perfumería",$G33,NA())</f>
        <v>#N/A</v>
      </c>
      <c r="O33" t="e">
        <f>IF($E33="Perfumería",$H33,NA())</f>
        <v>#N/A</v>
      </c>
      <c r="P33" t="e">
        <f>IF($E33="Cuidado Facial",$G33,NA())</f>
        <v>#N/A</v>
      </c>
      <c r="Q33" t="e">
        <f>IF($E33="Cuidado Facial",$H33,NA())</f>
        <v>#N/A</v>
      </c>
      <c r="R33" t="e">
        <f>IF($E33="Capilar",$G33,NA())</f>
        <v>#N/A</v>
      </c>
      <c r="S33" t="e">
        <f>IF($E33="Capilar",$H33,NA())</f>
        <v>#N/A</v>
      </c>
      <c r="T33" s="6" t="str">
        <f t="shared" si="0"/>
        <v>Enero</v>
      </c>
    </row>
    <row r="34" spans="1:20" ht="15" customHeight="1" x14ac:dyDescent="0.25">
      <c r="A34" s="5">
        <v>46344</v>
      </c>
      <c r="B34" s="6" t="s">
        <v>38</v>
      </c>
      <c r="C34" s="6" t="s">
        <v>31</v>
      </c>
      <c r="D34" s="6" t="s">
        <v>32</v>
      </c>
      <c r="E34" s="6" t="s">
        <v>33</v>
      </c>
      <c r="F34" s="6">
        <v>1</v>
      </c>
      <c r="G34" s="7">
        <v>3088.47</v>
      </c>
      <c r="H34" s="7">
        <v>1797.99</v>
      </c>
      <c r="I34" s="7">
        <v>3088.47</v>
      </c>
      <c r="J34" s="7">
        <v>1797.99</v>
      </c>
      <c r="K34" s="7">
        <v>1290.48</v>
      </c>
      <c r="L34" t="e">
        <f>IF($E34="Maquillaje",$G34,NA())</f>
        <v>#N/A</v>
      </c>
      <c r="M34" t="e">
        <f>IF($E34="Maquillaje",$H34,NA())</f>
        <v>#N/A</v>
      </c>
      <c r="N34" s="8">
        <f>IF($E34="Perfumería",$G34,NA())</f>
        <v>3088.47</v>
      </c>
      <c r="O34" s="8">
        <f>IF($E34="Perfumería",$H34,NA())</f>
        <v>1797.99</v>
      </c>
      <c r="P34" t="e">
        <f>IF($E34="Cuidado Facial",$G34,NA())</f>
        <v>#N/A</v>
      </c>
      <c r="Q34" t="e">
        <f>IF($E34="Cuidado Facial",$H34,NA())</f>
        <v>#N/A</v>
      </c>
      <c r="R34" t="e">
        <f>IF($E34="Capilar",$G34,NA())</f>
        <v>#N/A</v>
      </c>
      <c r="S34" t="e">
        <f>IF($E34="Capilar",$H34,NA())</f>
        <v>#N/A</v>
      </c>
      <c r="T34" s="6" t="str">
        <f t="shared" si="0"/>
        <v>Noviembre</v>
      </c>
    </row>
    <row r="35" spans="1:20" ht="15" customHeight="1" x14ac:dyDescent="0.25">
      <c r="A35" s="5">
        <v>46048</v>
      </c>
      <c r="B35" s="6" t="s">
        <v>46</v>
      </c>
      <c r="C35" s="6" t="s">
        <v>31</v>
      </c>
      <c r="D35" s="6" t="s">
        <v>39</v>
      </c>
      <c r="E35" s="6" t="s">
        <v>40</v>
      </c>
      <c r="F35" s="6">
        <v>8</v>
      </c>
      <c r="G35" s="7">
        <v>2225.0300000000002</v>
      </c>
      <c r="H35" s="7">
        <v>1102.1400000000001</v>
      </c>
      <c r="I35" s="7">
        <v>17800.240000000002</v>
      </c>
      <c r="J35" s="7">
        <v>8817.1200000000008</v>
      </c>
      <c r="K35" s="7">
        <v>8983.1200000000008</v>
      </c>
      <c r="L35" t="e">
        <f>IF($E35="Maquillaje",$G35,NA())</f>
        <v>#N/A</v>
      </c>
      <c r="M35" t="e">
        <f>IF($E35="Maquillaje",$H35,NA())</f>
        <v>#N/A</v>
      </c>
      <c r="N35" t="e">
        <f>IF($E35="Perfumería",$G35,NA())</f>
        <v>#N/A</v>
      </c>
      <c r="O35" t="e">
        <f>IF($E35="Perfumería",$H35,NA())</f>
        <v>#N/A</v>
      </c>
      <c r="P35" s="8">
        <f>IF($E35="Cuidado Facial",$G35,NA())</f>
        <v>2225.0300000000002</v>
      </c>
      <c r="Q35" s="8">
        <f>IF($E35="Cuidado Facial",$H35,NA())</f>
        <v>1102.1400000000001</v>
      </c>
      <c r="R35" t="e">
        <f>IF($E35="Capilar",$G35,NA())</f>
        <v>#N/A</v>
      </c>
      <c r="S35" t="e">
        <f>IF($E35="Capilar",$H35,NA())</f>
        <v>#N/A</v>
      </c>
      <c r="T35" s="6" t="str">
        <f t="shared" si="0"/>
        <v>Enero</v>
      </c>
    </row>
    <row r="36" spans="1:20" ht="15" customHeight="1" x14ac:dyDescent="0.25">
      <c r="A36" s="5">
        <v>46056</v>
      </c>
      <c r="B36" s="6" t="s">
        <v>34</v>
      </c>
      <c r="C36" s="6" t="s">
        <v>35</v>
      </c>
      <c r="D36" s="6" t="s">
        <v>39</v>
      </c>
      <c r="E36" s="6" t="s">
        <v>40</v>
      </c>
      <c r="F36" s="6">
        <v>12</v>
      </c>
      <c r="G36" s="7">
        <v>2207.71</v>
      </c>
      <c r="H36" s="7">
        <v>993.45</v>
      </c>
      <c r="I36" s="7">
        <v>26492.52</v>
      </c>
      <c r="J36" s="7">
        <v>11921.4</v>
      </c>
      <c r="K36" s="7">
        <v>14571.12</v>
      </c>
      <c r="L36" t="e">
        <f>IF($E36="Maquillaje",$G36,NA())</f>
        <v>#N/A</v>
      </c>
      <c r="M36" t="e">
        <f>IF($E36="Maquillaje",$H36,NA())</f>
        <v>#N/A</v>
      </c>
      <c r="N36" t="e">
        <f>IF($E36="Perfumería",$G36,NA())</f>
        <v>#N/A</v>
      </c>
      <c r="O36" t="e">
        <f>IF($E36="Perfumería",$H36,NA())</f>
        <v>#N/A</v>
      </c>
      <c r="P36" s="8">
        <f>IF($E36="Cuidado Facial",$G36,NA())</f>
        <v>2207.71</v>
      </c>
      <c r="Q36" s="8">
        <f>IF($E36="Cuidado Facial",$H36,NA())</f>
        <v>993.45</v>
      </c>
      <c r="R36" t="e">
        <f>IF($E36="Capilar",$G36,NA())</f>
        <v>#N/A</v>
      </c>
      <c r="S36" t="e">
        <f>IF($E36="Capilar",$H36,NA())</f>
        <v>#N/A</v>
      </c>
      <c r="T36" s="6" t="str">
        <f t="shared" si="0"/>
        <v>Febrero</v>
      </c>
    </row>
    <row r="37" spans="1:20" ht="15" customHeight="1" x14ac:dyDescent="0.25">
      <c r="A37" s="5">
        <v>46062</v>
      </c>
      <c r="B37" s="6" t="s">
        <v>38</v>
      </c>
      <c r="C37" s="6" t="s">
        <v>31</v>
      </c>
      <c r="D37" s="6" t="s">
        <v>32</v>
      </c>
      <c r="E37" s="6" t="s">
        <v>33</v>
      </c>
      <c r="F37" s="6">
        <v>10</v>
      </c>
      <c r="G37" s="7">
        <v>3160.25</v>
      </c>
      <c r="H37" s="7">
        <v>1663.88</v>
      </c>
      <c r="I37" s="7">
        <v>31602.5</v>
      </c>
      <c r="J37" s="7">
        <v>16638.8</v>
      </c>
      <c r="K37" s="7">
        <v>14963.7</v>
      </c>
      <c r="L37" t="e">
        <f>IF($E37="Maquillaje",$G37,NA())</f>
        <v>#N/A</v>
      </c>
      <c r="M37" t="e">
        <f>IF($E37="Maquillaje",$H37,NA())</f>
        <v>#N/A</v>
      </c>
      <c r="N37" s="8">
        <f>IF($E37="Perfumería",$G37,NA())</f>
        <v>3160.25</v>
      </c>
      <c r="O37" s="8">
        <f>IF($E37="Perfumería",$H37,NA())</f>
        <v>1663.88</v>
      </c>
      <c r="P37" t="e">
        <f>IF($E37="Cuidado Facial",$G37,NA())</f>
        <v>#N/A</v>
      </c>
      <c r="Q37" t="e">
        <f>IF($E37="Cuidado Facial",$H37,NA())</f>
        <v>#N/A</v>
      </c>
      <c r="R37" t="e">
        <f>IF($E37="Capilar",$G37,NA())</f>
        <v>#N/A</v>
      </c>
      <c r="S37" t="e">
        <f>IF($E37="Capilar",$H37,NA())</f>
        <v>#N/A</v>
      </c>
      <c r="T37" s="6" t="str">
        <f t="shared" si="0"/>
        <v>Febrero</v>
      </c>
    </row>
    <row r="38" spans="1:20" ht="15" customHeight="1" x14ac:dyDescent="0.25">
      <c r="A38" s="5">
        <v>46029</v>
      </c>
      <c r="B38" s="6" t="s">
        <v>34</v>
      </c>
      <c r="C38" s="6" t="s">
        <v>35</v>
      </c>
      <c r="D38" s="6" t="s">
        <v>32</v>
      </c>
      <c r="E38" s="6" t="s">
        <v>33</v>
      </c>
      <c r="F38" s="6">
        <v>8</v>
      </c>
      <c r="G38" s="7">
        <v>3257.78</v>
      </c>
      <c r="H38" s="7">
        <v>1755.79</v>
      </c>
      <c r="I38" s="7">
        <v>26062.240000000002</v>
      </c>
      <c r="J38" s="7">
        <v>14046.32</v>
      </c>
      <c r="K38" s="7">
        <v>12015.92</v>
      </c>
      <c r="L38" t="e">
        <f>IF($E38="Maquillaje",$G38,NA())</f>
        <v>#N/A</v>
      </c>
      <c r="M38" t="e">
        <f>IF($E38="Maquillaje",$H38,NA())</f>
        <v>#N/A</v>
      </c>
      <c r="N38" s="8">
        <f>IF($E38="Perfumería",$G38,NA())</f>
        <v>3257.78</v>
      </c>
      <c r="O38" s="8">
        <f>IF($E38="Perfumería",$H38,NA())</f>
        <v>1755.79</v>
      </c>
      <c r="P38" t="e">
        <f>IF($E38="Cuidado Facial",$G38,NA())</f>
        <v>#N/A</v>
      </c>
      <c r="Q38" t="e">
        <f>IF($E38="Cuidado Facial",$H38,NA())</f>
        <v>#N/A</v>
      </c>
      <c r="R38" t="e">
        <f>IF($E38="Capilar",$G38,NA())</f>
        <v>#N/A</v>
      </c>
      <c r="S38" t="e">
        <f>IF($E38="Capilar",$H38,NA())</f>
        <v>#N/A</v>
      </c>
      <c r="T38" s="6" t="str">
        <f t="shared" si="0"/>
        <v>Enero</v>
      </c>
    </row>
    <row r="39" spans="1:20" ht="15" customHeight="1" x14ac:dyDescent="0.25">
      <c r="A39" s="5">
        <v>46304</v>
      </c>
      <c r="B39" s="6" t="s">
        <v>30</v>
      </c>
      <c r="C39" s="6" t="s">
        <v>35</v>
      </c>
      <c r="D39" s="6" t="s">
        <v>39</v>
      </c>
      <c r="E39" s="6" t="s">
        <v>40</v>
      </c>
      <c r="F39" s="6">
        <v>2</v>
      </c>
      <c r="G39" s="7">
        <v>2234.36</v>
      </c>
      <c r="H39" s="7">
        <v>1148.3</v>
      </c>
      <c r="I39" s="7">
        <v>4468.72</v>
      </c>
      <c r="J39" s="7">
        <v>2296.6</v>
      </c>
      <c r="K39" s="7">
        <v>2172.12</v>
      </c>
      <c r="L39" t="e">
        <f>IF($E39="Maquillaje",$G39,NA())</f>
        <v>#N/A</v>
      </c>
      <c r="M39" t="e">
        <f>IF($E39="Maquillaje",$H39,NA())</f>
        <v>#N/A</v>
      </c>
      <c r="N39" t="e">
        <f>IF($E39="Perfumería",$G39,NA())</f>
        <v>#N/A</v>
      </c>
      <c r="O39" t="e">
        <f>IF($E39="Perfumería",$H39,NA())</f>
        <v>#N/A</v>
      </c>
      <c r="P39" s="8">
        <f>IF($E39="Cuidado Facial",$G39,NA())</f>
        <v>2234.36</v>
      </c>
      <c r="Q39" s="8">
        <f>IF($E39="Cuidado Facial",$H39,NA())</f>
        <v>1148.3</v>
      </c>
      <c r="R39" t="e">
        <f>IF($E39="Capilar",$G39,NA())</f>
        <v>#N/A</v>
      </c>
      <c r="S39" t="e">
        <f>IF($E39="Capilar",$H39,NA())</f>
        <v>#N/A</v>
      </c>
      <c r="T39" s="6" t="str">
        <f t="shared" si="0"/>
        <v>Octubre</v>
      </c>
    </row>
    <row r="40" spans="1:20" ht="15" customHeight="1" x14ac:dyDescent="0.25">
      <c r="A40" s="5">
        <v>46130</v>
      </c>
      <c r="B40" s="6" t="s">
        <v>30</v>
      </c>
      <c r="C40" s="6" t="s">
        <v>48</v>
      </c>
      <c r="D40" s="6" t="s">
        <v>49</v>
      </c>
      <c r="E40" s="6" t="s">
        <v>40</v>
      </c>
      <c r="F40" s="6">
        <v>10</v>
      </c>
      <c r="G40" s="7">
        <v>1915.28</v>
      </c>
      <c r="H40" s="7">
        <v>901.57</v>
      </c>
      <c r="I40" s="7">
        <v>19152.8</v>
      </c>
      <c r="J40" s="7">
        <v>9015.7000000000007</v>
      </c>
      <c r="K40" s="7">
        <v>10137.1</v>
      </c>
      <c r="L40" t="e">
        <f>IF($E40="Maquillaje",$G40,NA())</f>
        <v>#N/A</v>
      </c>
      <c r="M40" t="e">
        <f>IF($E40="Maquillaje",$H40,NA())</f>
        <v>#N/A</v>
      </c>
      <c r="N40" t="e">
        <f>IF($E40="Perfumería",$G40,NA())</f>
        <v>#N/A</v>
      </c>
      <c r="O40" t="e">
        <f>IF($E40="Perfumería",$H40,NA())</f>
        <v>#N/A</v>
      </c>
      <c r="P40" s="8">
        <f>IF($E40="Cuidado Facial",$G40,NA())</f>
        <v>1915.28</v>
      </c>
      <c r="Q40" s="8">
        <f>IF($E40="Cuidado Facial",$H40,NA())</f>
        <v>901.57</v>
      </c>
      <c r="R40" t="e">
        <f>IF($E40="Capilar",$G40,NA())</f>
        <v>#N/A</v>
      </c>
      <c r="S40" t="e">
        <f>IF($E40="Capilar",$H40,NA())</f>
        <v>#N/A</v>
      </c>
      <c r="T40" s="6" t="str">
        <f t="shared" si="0"/>
        <v>Abril</v>
      </c>
    </row>
    <row r="41" spans="1:20" ht="15" customHeight="1" x14ac:dyDescent="0.25">
      <c r="A41" s="5">
        <v>46271</v>
      </c>
      <c r="B41" s="6" t="s">
        <v>30</v>
      </c>
      <c r="C41" s="6" t="s">
        <v>48</v>
      </c>
      <c r="D41" s="6" t="s">
        <v>45</v>
      </c>
      <c r="E41" s="6" t="s">
        <v>43</v>
      </c>
      <c r="F41" s="6">
        <v>5</v>
      </c>
      <c r="G41" s="7">
        <v>1149.98</v>
      </c>
      <c r="H41" s="7">
        <v>550.61</v>
      </c>
      <c r="I41" s="7">
        <v>5749.9</v>
      </c>
      <c r="J41" s="7">
        <v>2753.05</v>
      </c>
      <c r="K41" s="7">
        <v>2996.85</v>
      </c>
      <c r="L41" t="e">
        <f>IF($E41="Maquillaje",$G41,NA())</f>
        <v>#N/A</v>
      </c>
      <c r="M41" t="e">
        <f>IF($E41="Maquillaje",$H41,NA())</f>
        <v>#N/A</v>
      </c>
      <c r="N41" t="e">
        <f>IF($E41="Perfumería",$G41,NA())</f>
        <v>#N/A</v>
      </c>
      <c r="O41" t="e">
        <f>IF($E41="Perfumería",$H41,NA())</f>
        <v>#N/A</v>
      </c>
      <c r="P41" t="e">
        <f>IF($E41="Cuidado Facial",$G41,NA())</f>
        <v>#N/A</v>
      </c>
      <c r="Q41" t="e">
        <f>IF($E41="Cuidado Facial",$H41,NA())</f>
        <v>#N/A</v>
      </c>
      <c r="R41" s="8">
        <f>IF($E41="Capilar",$G41,NA())</f>
        <v>1149.98</v>
      </c>
      <c r="S41" s="8">
        <f>IF($E41="Capilar",$H41,NA())</f>
        <v>550.61</v>
      </c>
      <c r="T41" s="6" t="str">
        <f t="shared" si="0"/>
        <v>Septiembre</v>
      </c>
    </row>
    <row r="42" spans="1:20" ht="15" customHeight="1" x14ac:dyDescent="0.25">
      <c r="A42" s="5">
        <v>46189</v>
      </c>
      <c r="B42" s="6" t="s">
        <v>34</v>
      </c>
      <c r="C42" s="6" t="s">
        <v>35</v>
      </c>
      <c r="D42" s="6" t="s">
        <v>44</v>
      </c>
      <c r="E42" s="6" t="s">
        <v>37</v>
      </c>
      <c r="F42" s="6">
        <v>5</v>
      </c>
      <c r="G42" s="7">
        <v>1140.77</v>
      </c>
      <c r="H42" s="7">
        <v>593.45000000000005</v>
      </c>
      <c r="I42" s="7">
        <v>5703.85</v>
      </c>
      <c r="J42" s="7">
        <v>2967.25</v>
      </c>
      <c r="K42" s="7">
        <v>2736.6</v>
      </c>
      <c r="L42" s="8">
        <f>IF($E42="Maquillaje",$G42,NA())</f>
        <v>1140.77</v>
      </c>
      <c r="M42" s="8">
        <f>IF($E42="Maquillaje",$H42,NA())</f>
        <v>593.45000000000005</v>
      </c>
      <c r="N42" t="e">
        <f>IF($E42="Perfumería",$G42,NA())</f>
        <v>#N/A</v>
      </c>
      <c r="O42" t="e">
        <f>IF($E42="Perfumería",$H42,NA())</f>
        <v>#N/A</v>
      </c>
      <c r="P42" t="e">
        <f>IF($E42="Cuidado Facial",$G42,NA())</f>
        <v>#N/A</v>
      </c>
      <c r="Q42" t="e">
        <f>IF($E42="Cuidado Facial",$H42,NA())</f>
        <v>#N/A</v>
      </c>
      <c r="R42" t="e">
        <f>IF($E42="Capilar",$G42,NA())</f>
        <v>#N/A</v>
      </c>
      <c r="S42" t="e">
        <f>IF($E42="Capilar",$H42,NA())</f>
        <v>#N/A</v>
      </c>
      <c r="T42" s="6" t="str">
        <f t="shared" si="0"/>
        <v>Junio</v>
      </c>
    </row>
    <row r="43" spans="1:20" ht="15" customHeight="1" x14ac:dyDescent="0.25">
      <c r="A43" s="5">
        <v>46242</v>
      </c>
      <c r="B43" s="6" t="s">
        <v>30</v>
      </c>
      <c r="C43" s="6" t="s">
        <v>48</v>
      </c>
      <c r="D43" s="6" t="s">
        <v>44</v>
      </c>
      <c r="E43" s="6" t="s">
        <v>37</v>
      </c>
      <c r="F43" s="6">
        <v>5</v>
      </c>
      <c r="G43" s="7">
        <v>1232.3900000000001</v>
      </c>
      <c r="H43" s="7">
        <v>604.36</v>
      </c>
      <c r="I43" s="7">
        <v>6161.95</v>
      </c>
      <c r="J43" s="7">
        <v>3021.8</v>
      </c>
      <c r="K43" s="7">
        <v>3140.15</v>
      </c>
      <c r="L43" s="8">
        <f>IF($E43="Maquillaje",$G43,NA())</f>
        <v>1232.3900000000001</v>
      </c>
      <c r="M43" s="8">
        <f>IF($E43="Maquillaje",$H43,NA())</f>
        <v>604.36</v>
      </c>
      <c r="N43" t="e">
        <f>IF($E43="Perfumería",$G43,NA())</f>
        <v>#N/A</v>
      </c>
      <c r="O43" t="e">
        <f>IF($E43="Perfumería",$H43,NA())</f>
        <v>#N/A</v>
      </c>
      <c r="P43" t="e">
        <f>IF($E43="Cuidado Facial",$G43,NA())</f>
        <v>#N/A</v>
      </c>
      <c r="Q43" t="e">
        <f>IF($E43="Cuidado Facial",$H43,NA())</f>
        <v>#N/A</v>
      </c>
      <c r="R43" t="e">
        <f>IF($E43="Capilar",$G43,NA())</f>
        <v>#N/A</v>
      </c>
      <c r="S43" t="e">
        <f>IF($E43="Capilar",$H43,NA())</f>
        <v>#N/A</v>
      </c>
      <c r="T43" s="6" t="str">
        <f t="shared" si="0"/>
        <v>Agosto</v>
      </c>
    </row>
    <row r="44" spans="1:20" ht="15" customHeight="1" x14ac:dyDescent="0.25">
      <c r="A44" s="5">
        <v>46214</v>
      </c>
      <c r="B44" s="6" t="s">
        <v>41</v>
      </c>
      <c r="C44" s="6" t="s">
        <v>35</v>
      </c>
      <c r="D44" s="6" t="s">
        <v>32</v>
      </c>
      <c r="E44" s="6" t="s">
        <v>33</v>
      </c>
      <c r="F44" s="6">
        <v>2</v>
      </c>
      <c r="G44" s="7">
        <v>3093.64</v>
      </c>
      <c r="H44" s="7">
        <v>1831.32</v>
      </c>
      <c r="I44" s="7">
        <v>6187.28</v>
      </c>
      <c r="J44" s="7">
        <v>3662.64</v>
      </c>
      <c r="K44" s="7">
        <v>2524.64</v>
      </c>
      <c r="L44" t="e">
        <f>IF($E44="Maquillaje",$G44,NA())</f>
        <v>#N/A</v>
      </c>
      <c r="M44" t="e">
        <f>IF($E44="Maquillaje",$H44,NA())</f>
        <v>#N/A</v>
      </c>
      <c r="N44" s="8">
        <f>IF($E44="Perfumería",$G44,NA())</f>
        <v>3093.64</v>
      </c>
      <c r="O44" s="8">
        <f>IF($E44="Perfumería",$H44,NA())</f>
        <v>1831.32</v>
      </c>
      <c r="P44" t="e">
        <f>IF($E44="Cuidado Facial",$G44,NA())</f>
        <v>#N/A</v>
      </c>
      <c r="Q44" t="e">
        <f>IF($E44="Cuidado Facial",$H44,NA())</f>
        <v>#N/A</v>
      </c>
      <c r="R44" t="e">
        <f>IF($E44="Capilar",$G44,NA())</f>
        <v>#N/A</v>
      </c>
      <c r="S44" t="e">
        <f>IF($E44="Capilar",$H44,NA())</f>
        <v>#N/A</v>
      </c>
      <c r="T44" s="6" t="str">
        <f t="shared" si="0"/>
        <v>Julio</v>
      </c>
    </row>
    <row r="45" spans="1:20" ht="15" customHeight="1" x14ac:dyDescent="0.25">
      <c r="A45" s="5">
        <v>46169</v>
      </c>
      <c r="B45" s="6" t="s">
        <v>38</v>
      </c>
      <c r="C45" s="6" t="s">
        <v>31</v>
      </c>
      <c r="D45" s="6" t="s">
        <v>45</v>
      </c>
      <c r="E45" s="6" t="s">
        <v>43</v>
      </c>
      <c r="F45" s="6">
        <v>6</v>
      </c>
      <c r="G45" s="7">
        <v>1051.98</v>
      </c>
      <c r="H45" s="7">
        <v>532.64</v>
      </c>
      <c r="I45" s="7">
        <v>6311.88</v>
      </c>
      <c r="J45" s="7">
        <v>3195.84</v>
      </c>
      <c r="K45" s="7">
        <v>3116.04</v>
      </c>
      <c r="L45" t="e">
        <f>IF($E45="Maquillaje",$G45,NA())</f>
        <v>#N/A</v>
      </c>
      <c r="M45" t="e">
        <f>IF($E45="Maquillaje",$H45,NA())</f>
        <v>#N/A</v>
      </c>
      <c r="N45" t="e">
        <f>IF($E45="Perfumería",$G45,NA())</f>
        <v>#N/A</v>
      </c>
      <c r="O45" t="e">
        <f>IF($E45="Perfumería",$H45,NA())</f>
        <v>#N/A</v>
      </c>
      <c r="P45" t="e">
        <f>IF($E45="Cuidado Facial",$G45,NA())</f>
        <v>#N/A</v>
      </c>
      <c r="Q45" t="e">
        <f>IF($E45="Cuidado Facial",$H45,NA())</f>
        <v>#N/A</v>
      </c>
      <c r="R45" s="8">
        <f>IF($E45="Capilar",$G45,NA())</f>
        <v>1051.98</v>
      </c>
      <c r="S45" s="8">
        <f>IF($E45="Capilar",$H45,NA())</f>
        <v>532.64</v>
      </c>
      <c r="T45" s="6" t="str">
        <f t="shared" si="0"/>
        <v>Mayo</v>
      </c>
    </row>
    <row r="46" spans="1:20" ht="15" customHeight="1" x14ac:dyDescent="0.25">
      <c r="A46" s="5">
        <v>46145</v>
      </c>
      <c r="B46" s="6" t="s">
        <v>38</v>
      </c>
      <c r="C46" s="6" t="s">
        <v>31</v>
      </c>
      <c r="D46" s="6" t="s">
        <v>47</v>
      </c>
      <c r="E46" s="6" t="s">
        <v>33</v>
      </c>
      <c r="F46" s="6">
        <v>3</v>
      </c>
      <c r="G46" s="7">
        <v>2928.11</v>
      </c>
      <c r="H46" s="7">
        <v>1600.19</v>
      </c>
      <c r="I46" s="7">
        <v>8784.33</v>
      </c>
      <c r="J46" s="7">
        <v>4800.57</v>
      </c>
      <c r="K46" s="7">
        <v>3983.76</v>
      </c>
      <c r="L46" t="e">
        <f>IF($E46="Maquillaje",$G46,NA())</f>
        <v>#N/A</v>
      </c>
      <c r="M46" t="e">
        <f>IF($E46="Maquillaje",$H46,NA())</f>
        <v>#N/A</v>
      </c>
      <c r="N46" s="8">
        <f>IF($E46="Perfumería",$G46,NA())</f>
        <v>2928.11</v>
      </c>
      <c r="O46" s="8">
        <f>IF($E46="Perfumería",$H46,NA())</f>
        <v>1600.19</v>
      </c>
      <c r="P46" t="e">
        <f>IF($E46="Cuidado Facial",$G46,NA())</f>
        <v>#N/A</v>
      </c>
      <c r="Q46" t="e">
        <f>IF($E46="Cuidado Facial",$H46,NA())</f>
        <v>#N/A</v>
      </c>
      <c r="R46" t="e">
        <f>IF($E46="Capilar",$G46,NA())</f>
        <v>#N/A</v>
      </c>
      <c r="S46" t="e">
        <f>IF($E46="Capilar",$H46,NA())</f>
        <v>#N/A</v>
      </c>
      <c r="T46" s="6" t="str">
        <f t="shared" si="0"/>
        <v>Mayo</v>
      </c>
    </row>
    <row r="47" spans="1:20" ht="15" customHeight="1" x14ac:dyDescent="0.25">
      <c r="A47" s="5">
        <v>46193</v>
      </c>
      <c r="B47" s="6" t="s">
        <v>34</v>
      </c>
      <c r="C47" s="6" t="s">
        <v>35</v>
      </c>
      <c r="D47" s="6" t="s">
        <v>32</v>
      </c>
      <c r="E47" s="6" t="s">
        <v>33</v>
      </c>
      <c r="F47" s="6">
        <v>2</v>
      </c>
      <c r="G47" s="7">
        <v>3178.79</v>
      </c>
      <c r="H47" s="7">
        <v>1769.56</v>
      </c>
      <c r="I47" s="7">
        <v>6357.58</v>
      </c>
      <c r="J47" s="7">
        <v>3539.12</v>
      </c>
      <c r="K47" s="7">
        <v>2818.46</v>
      </c>
      <c r="L47" t="e">
        <f>IF($E47="Maquillaje",$G47,NA())</f>
        <v>#N/A</v>
      </c>
      <c r="M47" t="e">
        <f>IF($E47="Maquillaje",$H47,NA())</f>
        <v>#N/A</v>
      </c>
      <c r="N47" s="8">
        <f>IF($E47="Perfumería",$G47,NA())</f>
        <v>3178.79</v>
      </c>
      <c r="O47" s="8">
        <f>IF($E47="Perfumería",$H47,NA())</f>
        <v>1769.56</v>
      </c>
      <c r="P47" t="e">
        <f>IF($E47="Cuidado Facial",$G47,NA())</f>
        <v>#N/A</v>
      </c>
      <c r="Q47" t="e">
        <f>IF($E47="Cuidado Facial",$H47,NA())</f>
        <v>#N/A</v>
      </c>
      <c r="R47" t="e">
        <f>IF($E47="Capilar",$G47,NA())</f>
        <v>#N/A</v>
      </c>
      <c r="S47" t="e">
        <f>IF($E47="Capilar",$H47,NA())</f>
        <v>#N/A</v>
      </c>
      <c r="T47" s="6" t="str">
        <f t="shared" si="0"/>
        <v>Junio</v>
      </c>
    </row>
    <row r="48" spans="1:20" ht="15" customHeight="1" x14ac:dyDescent="0.25">
      <c r="A48" s="5">
        <v>46126</v>
      </c>
      <c r="B48" s="6" t="s">
        <v>46</v>
      </c>
      <c r="C48" s="6" t="s">
        <v>31</v>
      </c>
      <c r="D48" s="6" t="s">
        <v>42</v>
      </c>
      <c r="E48" s="6" t="s">
        <v>43</v>
      </c>
      <c r="F48" s="6">
        <v>9</v>
      </c>
      <c r="G48" s="7">
        <v>894.9</v>
      </c>
      <c r="H48" s="7">
        <v>457.94</v>
      </c>
      <c r="I48" s="7">
        <v>8054.1</v>
      </c>
      <c r="J48" s="7">
        <v>4121.46</v>
      </c>
      <c r="K48" s="7">
        <v>3932.64</v>
      </c>
      <c r="L48" t="e">
        <f>IF($E48="Maquillaje",$G48,NA())</f>
        <v>#N/A</v>
      </c>
      <c r="M48" t="e">
        <f>IF($E48="Maquillaje",$H48,NA())</f>
        <v>#N/A</v>
      </c>
      <c r="N48" t="e">
        <f>IF($E48="Perfumería",$G48,NA())</f>
        <v>#N/A</v>
      </c>
      <c r="O48" t="e">
        <f>IF($E48="Perfumería",$H48,NA())</f>
        <v>#N/A</v>
      </c>
      <c r="P48" t="e">
        <f>IF($E48="Cuidado Facial",$G48,NA())</f>
        <v>#N/A</v>
      </c>
      <c r="Q48" t="e">
        <f>IF($E48="Cuidado Facial",$H48,NA())</f>
        <v>#N/A</v>
      </c>
      <c r="R48" s="8">
        <f>IF($E48="Capilar",$G48,NA())</f>
        <v>894.9</v>
      </c>
      <c r="S48" s="8">
        <f>IF($E48="Capilar",$H48,NA())</f>
        <v>457.94</v>
      </c>
      <c r="T48" s="6" t="str">
        <f t="shared" si="0"/>
        <v>Abril</v>
      </c>
    </row>
    <row r="49" spans="1:20" ht="15" customHeight="1" x14ac:dyDescent="0.25">
      <c r="A49" s="5">
        <v>46207</v>
      </c>
      <c r="B49" s="6" t="s">
        <v>38</v>
      </c>
      <c r="C49" s="6" t="s">
        <v>31</v>
      </c>
      <c r="D49" s="6" t="s">
        <v>39</v>
      </c>
      <c r="E49" s="6" t="s">
        <v>40</v>
      </c>
      <c r="F49" s="6">
        <v>7</v>
      </c>
      <c r="G49" s="7">
        <v>2057.9</v>
      </c>
      <c r="H49" s="7">
        <v>1038.6300000000001</v>
      </c>
      <c r="I49" s="7">
        <v>14405.3</v>
      </c>
      <c r="J49" s="7">
        <v>7270.41</v>
      </c>
      <c r="K49" s="7">
        <v>7134.89</v>
      </c>
      <c r="L49" t="e">
        <f>IF($E49="Maquillaje",$G49,NA())</f>
        <v>#N/A</v>
      </c>
      <c r="M49" t="e">
        <f>IF($E49="Maquillaje",$H49,NA())</f>
        <v>#N/A</v>
      </c>
      <c r="N49" t="e">
        <f>IF($E49="Perfumería",$G49,NA())</f>
        <v>#N/A</v>
      </c>
      <c r="O49" t="e">
        <f>IF($E49="Perfumería",$H49,NA())</f>
        <v>#N/A</v>
      </c>
      <c r="P49" s="8">
        <f>IF($E49="Cuidado Facial",$G49,NA())</f>
        <v>2057.9</v>
      </c>
      <c r="Q49" s="8">
        <f>IF($E49="Cuidado Facial",$H49,NA())</f>
        <v>1038.6300000000001</v>
      </c>
      <c r="R49" t="e">
        <f>IF($E49="Capilar",$G49,NA())</f>
        <v>#N/A</v>
      </c>
      <c r="S49" t="e">
        <f>IF($E49="Capilar",$H49,NA())</f>
        <v>#N/A</v>
      </c>
      <c r="T49" s="6" t="str">
        <f t="shared" si="0"/>
        <v>Julio</v>
      </c>
    </row>
    <row r="50" spans="1:20" ht="15" customHeight="1" x14ac:dyDescent="0.25">
      <c r="A50" s="5">
        <v>46034</v>
      </c>
      <c r="B50" s="6" t="s">
        <v>41</v>
      </c>
      <c r="C50" s="6" t="s">
        <v>35</v>
      </c>
      <c r="D50" s="6" t="s">
        <v>44</v>
      </c>
      <c r="E50" s="6" t="s">
        <v>37</v>
      </c>
      <c r="F50" s="6">
        <v>7</v>
      </c>
      <c r="G50" s="7">
        <v>1303.26</v>
      </c>
      <c r="H50" s="7">
        <v>705.66</v>
      </c>
      <c r="I50" s="7">
        <v>9122.82</v>
      </c>
      <c r="J50" s="7">
        <v>4939.62</v>
      </c>
      <c r="K50" s="7">
        <v>4183.2</v>
      </c>
      <c r="L50" s="8">
        <f>IF($E50="Maquillaje",$G50,NA())</f>
        <v>1303.26</v>
      </c>
      <c r="M50" s="8">
        <f>IF($E50="Maquillaje",$H50,NA())</f>
        <v>705.66</v>
      </c>
      <c r="N50" t="e">
        <f>IF($E50="Perfumería",$G50,NA())</f>
        <v>#N/A</v>
      </c>
      <c r="O50" t="e">
        <f>IF($E50="Perfumería",$H50,NA())</f>
        <v>#N/A</v>
      </c>
      <c r="P50" t="e">
        <f>IF($E50="Cuidado Facial",$G50,NA())</f>
        <v>#N/A</v>
      </c>
      <c r="Q50" t="e">
        <f>IF($E50="Cuidado Facial",$H50,NA())</f>
        <v>#N/A</v>
      </c>
      <c r="R50" t="e">
        <f>IF($E50="Capilar",$G50,NA())</f>
        <v>#N/A</v>
      </c>
      <c r="S50" t="e">
        <f>IF($E50="Capilar",$H50,NA())</f>
        <v>#N/A</v>
      </c>
      <c r="T50" s="6" t="str">
        <f t="shared" si="0"/>
        <v>Enero</v>
      </c>
    </row>
    <row r="51" spans="1:20" ht="15" customHeight="1" x14ac:dyDescent="0.25">
      <c r="A51" s="5">
        <v>46178</v>
      </c>
      <c r="B51" s="6" t="s">
        <v>46</v>
      </c>
      <c r="C51" s="6" t="s">
        <v>31</v>
      </c>
      <c r="D51" s="6" t="s">
        <v>36</v>
      </c>
      <c r="E51" s="6" t="s">
        <v>37</v>
      </c>
      <c r="F51" s="6">
        <v>2</v>
      </c>
      <c r="G51" s="7">
        <v>1392.1</v>
      </c>
      <c r="H51" s="7">
        <v>849.19</v>
      </c>
      <c r="I51" s="7">
        <v>2784.2</v>
      </c>
      <c r="J51" s="7">
        <v>1698.38</v>
      </c>
      <c r="K51" s="7">
        <v>1085.82</v>
      </c>
      <c r="L51" s="8">
        <f>IF($E51="Maquillaje",$G51,NA())</f>
        <v>1392.1</v>
      </c>
      <c r="M51" s="8">
        <f>IF($E51="Maquillaje",$H51,NA())</f>
        <v>849.19</v>
      </c>
      <c r="N51" t="e">
        <f>IF($E51="Perfumería",$G51,NA())</f>
        <v>#N/A</v>
      </c>
      <c r="O51" t="e">
        <f>IF($E51="Perfumería",$H51,NA())</f>
        <v>#N/A</v>
      </c>
      <c r="P51" t="e">
        <f>IF($E51="Cuidado Facial",$G51,NA())</f>
        <v>#N/A</v>
      </c>
      <c r="Q51" t="e">
        <f>IF($E51="Cuidado Facial",$H51,NA())</f>
        <v>#N/A</v>
      </c>
      <c r="R51" t="e">
        <f>IF($E51="Capilar",$G51,NA())</f>
        <v>#N/A</v>
      </c>
      <c r="S51" t="e">
        <f>IF($E51="Capilar",$H51,NA())</f>
        <v>#N/A</v>
      </c>
      <c r="T51" s="6" t="str">
        <f t="shared" si="0"/>
        <v>Junio</v>
      </c>
    </row>
    <row r="52" spans="1:20" ht="15" customHeight="1" x14ac:dyDescent="0.25">
      <c r="A52" s="5">
        <v>46023</v>
      </c>
      <c r="B52" s="6" t="s">
        <v>41</v>
      </c>
      <c r="C52" s="6" t="s">
        <v>35</v>
      </c>
      <c r="D52" s="6" t="s">
        <v>49</v>
      </c>
      <c r="E52" s="6" t="s">
        <v>40</v>
      </c>
      <c r="F52" s="6">
        <v>14</v>
      </c>
      <c r="G52" s="7">
        <v>1938.16</v>
      </c>
      <c r="H52" s="7">
        <v>895.55</v>
      </c>
      <c r="I52" s="7">
        <v>27134.240000000002</v>
      </c>
      <c r="J52" s="7">
        <v>12537.7</v>
      </c>
      <c r="K52" s="7">
        <v>14596.54</v>
      </c>
      <c r="L52" t="e">
        <f>IF($E52="Maquillaje",$G52,NA())</f>
        <v>#N/A</v>
      </c>
      <c r="M52" t="e">
        <f>IF($E52="Maquillaje",$H52,NA())</f>
        <v>#N/A</v>
      </c>
      <c r="N52" t="e">
        <f>IF($E52="Perfumería",$G52,NA())</f>
        <v>#N/A</v>
      </c>
      <c r="O52" t="e">
        <f>IF($E52="Perfumería",$H52,NA())</f>
        <v>#N/A</v>
      </c>
      <c r="P52" s="8">
        <f>IF($E52="Cuidado Facial",$G52,NA())</f>
        <v>1938.16</v>
      </c>
      <c r="Q52" s="8">
        <f>IF($E52="Cuidado Facial",$H52,NA())</f>
        <v>895.55</v>
      </c>
      <c r="R52" t="e">
        <f>IF($E52="Capilar",$G52,NA())</f>
        <v>#N/A</v>
      </c>
      <c r="S52" t="e">
        <f>IF($E52="Capilar",$H52,NA())</f>
        <v>#N/A</v>
      </c>
      <c r="T52" s="6" t="str">
        <f t="shared" si="0"/>
        <v>Enero</v>
      </c>
    </row>
    <row r="53" spans="1:20" ht="15" customHeight="1" x14ac:dyDescent="0.25">
      <c r="A53" s="5">
        <v>46383</v>
      </c>
      <c r="B53" s="6" t="s">
        <v>30</v>
      </c>
      <c r="C53" s="6" t="s">
        <v>48</v>
      </c>
      <c r="D53" s="6" t="s">
        <v>45</v>
      </c>
      <c r="E53" s="6" t="s">
        <v>43</v>
      </c>
      <c r="F53" s="6">
        <v>11</v>
      </c>
      <c r="G53" s="7">
        <v>1082.4000000000001</v>
      </c>
      <c r="H53" s="7">
        <v>532.80999999999995</v>
      </c>
      <c r="I53" s="7">
        <v>11906.4</v>
      </c>
      <c r="J53" s="7">
        <v>5860.91</v>
      </c>
      <c r="K53" s="7">
        <v>6045.49</v>
      </c>
      <c r="L53" t="e">
        <f>IF($E53="Maquillaje",$G53,NA())</f>
        <v>#N/A</v>
      </c>
      <c r="M53" t="e">
        <f>IF($E53="Maquillaje",$H53,NA())</f>
        <v>#N/A</v>
      </c>
      <c r="N53" t="e">
        <f>IF($E53="Perfumería",$G53,NA())</f>
        <v>#N/A</v>
      </c>
      <c r="O53" t="e">
        <f>IF($E53="Perfumería",$H53,NA())</f>
        <v>#N/A</v>
      </c>
      <c r="P53" t="e">
        <f>IF($E53="Cuidado Facial",$G53,NA())</f>
        <v>#N/A</v>
      </c>
      <c r="Q53" t="e">
        <f>IF($E53="Cuidado Facial",$H53,NA())</f>
        <v>#N/A</v>
      </c>
      <c r="R53" s="8">
        <f>IF($E53="Capilar",$G53,NA())</f>
        <v>1082.4000000000001</v>
      </c>
      <c r="S53" s="8">
        <f>IF($E53="Capilar",$H53,NA())</f>
        <v>532.80999999999995</v>
      </c>
      <c r="T53" s="6" t="str">
        <f t="shared" si="0"/>
        <v>Diciembre</v>
      </c>
    </row>
    <row r="54" spans="1:20" ht="15" customHeight="1" x14ac:dyDescent="0.25">
      <c r="A54" s="5">
        <v>46040</v>
      </c>
      <c r="B54" s="6" t="s">
        <v>46</v>
      </c>
      <c r="C54" s="6" t="s">
        <v>31</v>
      </c>
      <c r="D54" s="6" t="s">
        <v>42</v>
      </c>
      <c r="E54" s="6" t="s">
        <v>43</v>
      </c>
      <c r="F54" s="6">
        <v>1</v>
      </c>
      <c r="G54" s="7">
        <v>1006.44</v>
      </c>
      <c r="H54" s="7">
        <v>502.96</v>
      </c>
      <c r="I54" s="7">
        <v>1006.44</v>
      </c>
      <c r="J54" s="7">
        <v>502.96</v>
      </c>
      <c r="K54" s="7">
        <v>503.48</v>
      </c>
      <c r="L54" t="e">
        <f>IF($E54="Maquillaje",$G54,NA())</f>
        <v>#N/A</v>
      </c>
      <c r="M54" t="e">
        <f>IF($E54="Maquillaje",$H54,NA())</f>
        <v>#N/A</v>
      </c>
      <c r="N54" t="e">
        <f>IF($E54="Perfumería",$G54,NA())</f>
        <v>#N/A</v>
      </c>
      <c r="O54" t="e">
        <f>IF($E54="Perfumería",$H54,NA())</f>
        <v>#N/A</v>
      </c>
      <c r="P54" t="e">
        <f>IF($E54="Cuidado Facial",$G54,NA())</f>
        <v>#N/A</v>
      </c>
      <c r="Q54" t="e">
        <f>IF($E54="Cuidado Facial",$H54,NA())</f>
        <v>#N/A</v>
      </c>
      <c r="R54" s="8">
        <f>IF($E54="Capilar",$G54,NA())</f>
        <v>1006.44</v>
      </c>
      <c r="S54" s="8">
        <f>IF($E54="Capilar",$H54,NA())</f>
        <v>502.96</v>
      </c>
      <c r="T54" s="6" t="str">
        <f t="shared" si="0"/>
        <v>Enero</v>
      </c>
    </row>
    <row r="55" spans="1:20" ht="15" customHeight="1" x14ac:dyDescent="0.25">
      <c r="A55" s="5">
        <v>46182</v>
      </c>
      <c r="B55" s="6" t="s">
        <v>30</v>
      </c>
      <c r="C55" s="6" t="s">
        <v>48</v>
      </c>
      <c r="D55" s="6" t="s">
        <v>32</v>
      </c>
      <c r="E55" s="6" t="s">
        <v>33</v>
      </c>
      <c r="F55" s="6">
        <v>13</v>
      </c>
      <c r="G55" s="7">
        <v>3664.75</v>
      </c>
      <c r="H55" s="7">
        <v>1613.15</v>
      </c>
      <c r="I55" s="7">
        <v>47641.75</v>
      </c>
      <c r="J55" s="7">
        <v>20970.95</v>
      </c>
      <c r="K55" s="7">
        <v>26670.799999999999</v>
      </c>
      <c r="L55" t="e">
        <f>IF($E55="Maquillaje",$G55,NA())</f>
        <v>#N/A</v>
      </c>
      <c r="M55" t="e">
        <f>IF($E55="Maquillaje",$H55,NA())</f>
        <v>#N/A</v>
      </c>
      <c r="N55">
        <f>IF($E55="Perfumería",$G55,NA())</f>
        <v>3664.75</v>
      </c>
      <c r="O55">
        <f>IF($E55="Perfumería",$H55,NA())</f>
        <v>1613.15</v>
      </c>
      <c r="P55" t="e">
        <f>IF($E55="Cuidado Facial",$G55,NA())</f>
        <v>#N/A</v>
      </c>
      <c r="Q55" t="e">
        <f>IF($E55="Cuidado Facial",$H55,NA())</f>
        <v>#N/A</v>
      </c>
      <c r="R55" t="e">
        <f>IF($E55="Capilar",$G55,NA())</f>
        <v>#N/A</v>
      </c>
      <c r="S55" t="e">
        <f>IF($E55="Capilar",$H55,NA())</f>
        <v>#N/A</v>
      </c>
      <c r="T55" s="6" t="str">
        <f t="shared" si="0"/>
        <v>Junio</v>
      </c>
    </row>
    <row r="56" spans="1:20" ht="15" customHeight="1" x14ac:dyDescent="0.25">
      <c r="A56" s="5">
        <v>46271</v>
      </c>
      <c r="B56" s="6" t="s">
        <v>38</v>
      </c>
      <c r="C56" s="6" t="s">
        <v>31</v>
      </c>
      <c r="D56" s="6" t="s">
        <v>42</v>
      </c>
      <c r="E56" s="6" t="s">
        <v>43</v>
      </c>
      <c r="F56" s="6">
        <v>4</v>
      </c>
      <c r="G56" s="7">
        <v>859.49</v>
      </c>
      <c r="H56" s="7">
        <v>489.23</v>
      </c>
      <c r="I56" s="7">
        <v>3437.96</v>
      </c>
      <c r="J56" s="7">
        <v>1956.92</v>
      </c>
      <c r="K56" s="7">
        <v>1481.04</v>
      </c>
      <c r="L56" t="e">
        <f>IF($E56="Maquillaje",$G56,NA())</f>
        <v>#N/A</v>
      </c>
      <c r="M56" t="e">
        <f>IF($E56="Maquillaje",$H56,NA())</f>
        <v>#N/A</v>
      </c>
      <c r="N56" t="e">
        <f>IF($E56="Perfumería",$G56,NA())</f>
        <v>#N/A</v>
      </c>
      <c r="O56" t="e">
        <f>IF($E56="Perfumería",$H56,NA())</f>
        <v>#N/A</v>
      </c>
      <c r="P56" t="e">
        <f>IF($E56="Cuidado Facial",$G56,NA())</f>
        <v>#N/A</v>
      </c>
      <c r="Q56" t="e">
        <f>IF($E56="Cuidado Facial",$H56,NA())</f>
        <v>#N/A</v>
      </c>
      <c r="R56" s="8">
        <f>IF($E56="Capilar",$G56,NA())</f>
        <v>859.49</v>
      </c>
      <c r="S56" s="8">
        <f>IF($E56="Capilar",$H56,NA())</f>
        <v>489.23</v>
      </c>
      <c r="T56" s="6" t="str">
        <f t="shared" si="0"/>
        <v>Septiembre</v>
      </c>
    </row>
    <row r="57" spans="1:20" ht="15" customHeight="1" x14ac:dyDescent="0.25">
      <c r="A57" s="5">
        <v>46253</v>
      </c>
      <c r="B57" s="6" t="s">
        <v>34</v>
      </c>
      <c r="C57" s="6" t="s">
        <v>35</v>
      </c>
      <c r="D57" s="6" t="s">
        <v>47</v>
      </c>
      <c r="E57" s="6" t="s">
        <v>33</v>
      </c>
      <c r="F57" s="6">
        <v>4</v>
      </c>
      <c r="G57" s="7">
        <v>2998.73</v>
      </c>
      <c r="H57" s="7">
        <v>1739.48</v>
      </c>
      <c r="I57" s="7">
        <v>11994.92</v>
      </c>
      <c r="J57" s="7">
        <v>6957.92</v>
      </c>
      <c r="K57" s="7">
        <v>5037</v>
      </c>
      <c r="L57" t="e">
        <f>IF($E57="Maquillaje",$G57,NA())</f>
        <v>#N/A</v>
      </c>
      <c r="M57" t="e">
        <f>IF($E57="Maquillaje",$H57,NA())</f>
        <v>#N/A</v>
      </c>
      <c r="N57">
        <f>IF($E57="Perfumería",$G57,NA())</f>
        <v>2998.73</v>
      </c>
      <c r="O57">
        <f>IF($E57="Perfumería",$H57,NA())</f>
        <v>1739.48</v>
      </c>
      <c r="P57" t="e">
        <f>IF($E57="Cuidado Facial",$G57,NA())</f>
        <v>#N/A</v>
      </c>
      <c r="Q57" t="e">
        <f>IF($E57="Cuidado Facial",$H57,NA())</f>
        <v>#N/A</v>
      </c>
      <c r="R57" t="e">
        <f>IF($E57="Capilar",$G57,NA())</f>
        <v>#N/A</v>
      </c>
      <c r="S57" t="e">
        <f>IF($E57="Capilar",$H57,NA())</f>
        <v>#N/A</v>
      </c>
      <c r="T57" s="6" t="str">
        <f t="shared" si="0"/>
        <v>Agosto</v>
      </c>
    </row>
    <row r="58" spans="1:20" ht="15" customHeight="1" x14ac:dyDescent="0.25">
      <c r="A58" s="5">
        <v>46216</v>
      </c>
      <c r="B58" s="6" t="s">
        <v>34</v>
      </c>
      <c r="C58" s="6" t="s">
        <v>35</v>
      </c>
      <c r="D58" s="6" t="s">
        <v>36</v>
      </c>
      <c r="E58" s="6" t="s">
        <v>37</v>
      </c>
      <c r="F58" s="6">
        <v>2</v>
      </c>
      <c r="G58" s="7">
        <v>1386.14</v>
      </c>
      <c r="H58" s="7">
        <v>756.83</v>
      </c>
      <c r="I58" s="7">
        <v>2772.28</v>
      </c>
      <c r="J58" s="7">
        <v>1513.66</v>
      </c>
      <c r="K58" s="7">
        <v>1258.6199999999999</v>
      </c>
      <c r="L58" s="8">
        <f>IF($E58="Maquillaje",$G58,NA())</f>
        <v>1386.14</v>
      </c>
      <c r="M58" s="8">
        <f>IF($E58="Maquillaje",$H58,NA())</f>
        <v>756.83</v>
      </c>
      <c r="N58" t="e">
        <f>IF($E58="Perfumería",$G58,NA())</f>
        <v>#N/A</v>
      </c>
      <c r="O58" t="e">
        <f>IF($E58="Perfumería",$H58,NA())</f>
        <v>#N/A</v>
      </c>
      <c r="P58" t="e">
        <f>IF($E58="Cuidado Facial",$G58,NA())</f>
        <v>#N/A</v>
      </c>
      <c r="Q58" t="e">
        <f>IF($E58="Cuidado Facial",$H58,NA())</f>
        <v>#N/A</v>
      </c>
      <c r="R58" t="e">
        <f>IF($E58="Capilar",$G58,NA())</f>
        <v>#N/A</v>
      </c>
      <c r="S58" t="e">
        <f>IF($E58="Capilar",$H58,NA())</f>
        <v>#N/A</v>
      </c>
      <c r="T58" s="6" t="str">
        <f t="shared" si="0"/>
        <v>Julio</v>
      </c>
    </row>
    <row r="59" spans="1:20" ht="15" customHeight="1" x14ac:dyDescent="0.25">
      <c r="A59" s="5">
        <v>46129</v>
      </c>
      <c r="B59" s="6" t="s">
        <v>34</v>
      </c>
      <c r="C59" s="6" t="s">
        <v>35</v>
      </c>
      <c r="D59" s="6" t="s">
        <v>44</v>
      </c>
      <c r="E59" s="6" t="s">
        <v>37</v>
      </c>
      <c r="F59" s="6">
        <v>8</v>
      </c>
      <c r="G59" s="7">
        <v>1126.97</v>
      </c>
      <c r="H59" s="7">
        <v>655.4</v>
      </c>
      <c r="I59" s="7">
        <v>9015.76</v>
      </c>
      <c r="J59" s="7">
        <v>5243.2</v>
      </c>
      <c r="K59" s="7">
        <v>3772.56</v>
      </c>
      <c r="L59" s="8">
        <f>IF($E59="Maquillaje",$G59,NA())</f>
        <v>1126.97</v>
      </c>
      <c r="M59" s="8">
        <f>IF($E59="Maquillaje",$H59,NA())</f>
        <v>655.4</v>
      </c>
      <c r="N59" t="e">
        <f>IF($E59="Perfumería",$G59,NA())</f>
        <v>#N/A</v>
      </c>
      <c r="O59" t="e">
        <f>IF($E59="Perfumería",$H59,NA())</f>
        <v>#N/A</v>
      </c>
      <c r="P59" t="e">
        <f>IF($E59="Cuidado Facial",$G59,NA())</f>
        <v>#N/A</v>
      </c>
      <c r="Q59" t="e">
        <f>IF($E59="Cuidado Facial",$H59,NA())</f>
        <v>#N/A</v>
      </c>
      <c r="R59" t="e">
        <f>IF($E59="Capilar",$G59,NA())</f>
        <v>#N/A</v>
      </c>
      <c r="S59" t="e">
        <f>IF($E59="Capilar",$H59,NA())</f>
        <v>#N/A</v>
      </c>
      <c r="T59" s="6" t="str">
        <f t="shared" si="0"/>
        <v>Abril</v>
      </c>
    </row>
    <row r="60" spans="1:20" ht="15" customHeight="1" x14ac:dyDescent="0.25">
      <c r="A60" s="5">
        <v>46265</v>
      </c>
      <c r="B60" s="6" t="s">
        <v>41</v>
      </c>
      <c r="C60" s="6" t="s">
        <v>35</v>
      </c>
      <c r="D60" s="6" t="s">
        <v>44</v>
      </c>
      <c r="E60" s="6" t="s">
        <v>37</v>
      </c>
      <c r="F60" s="6">
        <v>1</v>
      </c>
      <c r="G60" s="7">
        <v>1191.3699999999999</v>
      </c>
      <c r="H60" s="7">
        <v>689.43</v>
      </c>
      <c r="I60" s="7">
        <v>1191.3699999999999</v>
      </c>
      <c r="J60" s="7">
        <v>689.43</v>
      </c>
      <c r="K60" s="7">
        <v>501.94</v>
      </c>
      <c r="L60" s="8">
        <f>IF($E60="Maquillaje",$G60,NA())</f>
        <v>1191.3699999999999</v>
      </c>
      <c r="M60" s="8">
        <f>IF($E60="Maquillaje",$H60,NA())</f>
        <v>689.43</v>
      </c>
      <c r="N60" t="e">
        <f>IF($E60="Perfumería",$G60,NA())</f>
        <v>#N/A</v>
      </c>
      <c r="O60" t="e">
        <f>IF($E60="Perfumería",$H60,NA())</f>
        <v>#N/A</v>
      </c>
      <c r="P60" t="e">
        <f>IF($E60="Cuidado Facial",$G60,NA())</f>
        <v>#N/A</v>
      </c>
      <c r="Q60" t="e">
        <f>IF($E60="Cuidado Facial",$H60,NA())</f>
        <v>#N/A</v>
      </c>
      <c r="R60" t="e">
        <f>IF($E60="Capilar",$G60,NA())</f>
        <v>#N/A</v>
      </c>
      <c r="S60" t="e">
        <f>IF($E60="Capilar",$H60,NA())</f>
        <v>#N/A</v>
      </c>
      <c r="T60" s="6" t="str">
        <f t="shared" si="0"/>
        <v>Agosto</v>
      </c>
    </row>
    <row r="61" spans="1:20" ht="15" customHeight="1" x14ac:dyDescent="0.25">
      <c r="A61" s="5">
        <v>46333</v>
      </c>
      <c r="B61" s="6" t="s">
        <v>34</v>
      </c>
      <c r="C61" s="6" t="s">
        <v>35</v>
      </c>
      <c r="D61" s="6" t="s">
        <v>39</v>
      </c>
      <c r="E61" s="6" t="s">
        <v>40</v>
      </c>
      <c r="F61" s="6">
        <v>12</v>
      </c>
      <c r="G61" s="7">
        <v>2179.62</v>
      </c>
      <c r="H61" s="7">
        <v>1139.0899999999999</v>
      </c>
      <c r="I61" s="7">
        <v>26155.439999999999</v>
      </c>
      <c r="J61" s="7">
        <v>13669.08</v>
      </c>
      <c r="K61" s="7">
        <v>12486.36</v>
      </c>
      <c r="L61" t="e">
        <f>IF($E61="Maquillaje",$G61,NA())</f>
        <v>#N/A</v>
      </c>
      <c r="M61" t="e">
        <f>IF($E61="Maquillaje",$H61,NA())</f>
        <v>#N/A</v>
      </c>
      <c r="N61" t="e">
        <f>IF($E61="Perfumería",$G61,NA())</f>
        <v>#N/A</v>
      </c>
      <c r="O61" t="e">
        <f>IF($E61="Perfumería",$H61,NA())</f>
        <v>#N/A</v>
      </c>
      <c r="P61" s="8">
        <f>IF($E61="Cuidado Facial",$G61,NA())</f>
        <v>2179.62</v>
      </c>
      <c r="Q61" s="8">
        <f>IF($E61="Cuidado Facial",$H61,NA())</f>
        <v>1139.0899999999999</v>
      </c>
      <c r="R61" t="e">
        <f>IF($E61="Capilar",$G61,NA())</f>
        <v>#N/A</v>
      </c>
      <c r="S61" t="e">
        <f>IF($E61="Capilar",$H61,NA())</f>
        <v>#N/A</v>
      </c>
      <c r="T61" s="6" t="str">
        <f t="shared" si="0"/>
        <v>Noviembre</v>
      </c>
    </row>
    <row r="62" spans="1:20" ht="15" customHeight="1" x14ac:dyDescent="0.25">
      <c r="A62" s="5">
        <v>46347</v>
      </c>
      <c r="B62" s="6" t="s">
        <v>30</v>
      </c>
      <c r="C62" s="6" t="s">
        <v>48</v>
      </c>
      <c r="D62" s="6" t="s">
        <v>36</v>
      </c>
      <c r="E62" s="6" t="s">
        <v>37</v>
      </c>
      <c r="F62" s="6">
        <v>12</v>
      </c>
      <c r="G62" s="7">
        <v>1582.47</v>
      </c>
      <c r="H62" s="7">
        <v>850.81</v>
      </c>
      <c r="I62" s="7">
        <v>18989.64</v>
      </c>
      <c r="J62" s="7">
        <v>10209.719999999999</v>
      </c>
      <c r="K62" s="7">
        <v>8779.92</v>
      </c>
      <c r="L62" s="8">
        <f>IF($E62="Maquillaje",$G62,NA())</f>
        <v>1582.47</v>
      </c>
      <c r="M62" s="8">
        <f>IF($E62="Maquillaje",$H62,NA())</f>
        <v>850.81</v>
      </c>
      <c r="N62" t="e">
        <f>IF($E62="Perfumería",$G62,NA())</f>
        <v>#N/A</v>
      </c>
      <c r="O62" t="e">
        <f>IF($E62="Perfumería",$H62,NA())</f>
        <v>#N/A</v>
      </c>
      <c r="P62" t="e">
        <f>IF($E62="Cuidado Facial",$G62,NA())</f>
        <v>#N/A</v>
      </c>
      <c r="Q62" t="e">
        <f>IF($E62="Cuidado Facial",$H62,NA())</f>
        <v>#N/A</v>
      </c>
      <c r="R62" t="e">
        <f>IF($E62="Capilar",$G62,NA())</f>
        <v>#N/A</v>
      </c>
      <c r="S62" t="e">
        <f>IF($E62="Capilar",$H62,NA())</f>
        <v>#N/A</v>
      </c>
      <c r="T62" s="6" t="str">
        <f t="shared" si="0"/>
        <v>Noviembre</v>
      </c>
    </row>
    <row r="63" spans="1:20" ht="15" customHeight="1" x14ac:dyDescent="0.25">
      <c r="A63" s="5">
        <v>46275</v>
      </c>
      <c r="B63" s="6" t="s">
        <v>34</v>
      </c>
      <c r="C63" s="6" t="s">
        <v>35</v>
      </c>
      <c r="D63" s="6" t="s">
        <v>39</v>
      </c>
      <c r="E63" s="6" t="s">
        <v>40</v>
      </c>
      <c r="F63" s="6">
        <v>13</v>
      </c>
      <c r="G63" s="7">
        <v>1953.55</v>
      </c>
      <c r="H63" s="7">
        <v>994.59</v>
      </c>
      <c r="I63" s="7">
        <v>25396.15</v>
      </c>
      <c r="J63" s="7">
        <v>12929.67</v>
      </c>
      <c r="K63" s="7">
        <v>12466.48</v>
      </c>
      <c r="L63" t="e">
        <f>IF($E63="Maquillaje",$G63,NA())</f>
        <v>#N/A</v>
      </c>
      <c r="M63" t="e">
        <f>IF($E63="Maquillaje",$H63,NA())</f>
        <v>#N/A</v>
      </c>
      <c r="N63" t="e">
        <f>IF($E63="Perfumería",$G63,NA())</f>
        <v>#N/A</v>
      </c>
      <c r="O63" t="e">
        <f>IF($E63="Perfumería",$H63,NA())</f>
        <v>#N/A</v>
      </c>
      <c r="P63" s="8">
        <f>IF($E63="Cuidado Facial",$G63,NA())</f>
        <v>1953.55</v>
      </c>
      <c r="Q63" s="8">
        <f>IF($E63="Cuidado Facial",$H63,NA())</f>
        <v>994.59</v>
      </c>
      <c r="R63" t="e">
        <f>IF($E63="Capilar",$G63,NA())</f>
        <v>#N/A</v>
      </c>
      <c r="S63" t="e">
        <f>IF($E63="Capilar",$H63,NA())</f>
        <v>#N/A</v>
      </c>
      <c r="T63" s="6" t="str">
        <f t="shared" si="0"/>
        <v>Septiembre</v>
      </c>
    </row>
    <row r="64" spans="1:20" ht="15" customHeight="1" x14ac:dyDescent="0.25">
      <c r="A64" s="5">
        <v>46328</v>
      </c>
      <c r="B64" s="6" t="s">
        <v>30</v>
      </c>
      <c r="C64" s="6" t="s">
        <v>35</v>
      </c>
      <c r="D64" s="6" t="s">
        <v>32</v>
      </c>
      <c r="E64" s="6" t="s">
        <v>33</v>
      </c>
      <c r="F64" s="6">
        <v>2</v>
      </c>
      <c r="G64" s="7">
        <v>3501.69</v>
      </c>
      <c r="H64" s="7">
        <v>1743.59</v>
      </c>
      <c r="I64" s="7">
        <v>7003.38</v>
      </c>
      <c r="J64" s="7">
        <v>3487.18</v>
      </c>
      <c r="K64" s="7">
        <v>3516.2</v>
      </c>
      <c r="L64" t="e">
        <f>IF($E64="Maquillaje",$G64,NA())</f>
        <v>#N/A</v>
      </c>
      <c r="M64" t="e">
        <f>IF($E64="Maquillaje",$H64,NA())</f>
        <v>#N/A</v>
      </c>
      <c r="N64">
        <f>IF($E64="Perfumería",$G64,NA())</f>
        <v>3501.69</v>
      </c>
      <c r="O64">
        <f>IF($E64="Perfumería",$H64,NA())</f>
        <v>1743.59</v>
      </c>
      <c r="P64" t="e">
        <f>IF($E64="Cuidado Facial",$G64,NA())</f>
        <v>#N/A</v>
      </c>
      <c r="Q64" t="e">
        <f>IF($E64="Cuidado Facial",$H64,NA())</f>
        <v>#N/A</v>
      </c>
      <c r="R64" t="e">
        <f>IF($E64="Capilar",$G64,NA())</f>
        <v>#N/A</v>
      </c>
      <c r="S64" t="e">
        <f>IF($E64="Capilar",$H64,NA())</f>
        <v>#N/A</v>
      </c>
      <c r="T64" s="6" t="str">
        <f t="shared" si="0"/>
        <v>Noviembre</v>
      </c>
    </row>
    <row r="65" spans="1:20" ht="15" customHeight="1" x14ac:dyDescent="0.25">
      <c r="A65" s="5">
        <v>46076</v>
      </c>
      <c r="B65" s="6" t="s">
        <v>34</v>
      </c>
      <c r="C65" s="6" t="s">
        <v>35</v>
      </c>
      <c r="D65" s="6" t="s">
        <v>36</v>
      </c>
      <c r="E65" s="6" t="s">
        <v>37</v>
      </c>
      <c r="F65" s="6">
        <v>8</v>
      </c>
      <c r="G65" s="7">
        <v>1591.65</v>
      </c>
      <c r="H65" s="7">
        <v>853.65</v>
      </c>
      <c r="I65" s="7">
        <v>12733.2</v>
      </c>
      <c r="J65" s="7">
        <v>6829.2</v>
      </c>
      <c r="K65" s="7">
        <v>5904</v>
      </c>
      <c r="L65" s="8">
        <f>IF($E65="Maquillaje",$G65,NA())</f>
        <v>1591.65</v>
      </c>
      <c r="M65" s="8">
        <f>IF($E65="Maquillaje",$H65,NA())</f>
        <v>853.65</v>
      </c>
      <c r="N65" t="e">
        <f>IF($E65="Perfumería",$G65,NA())</f>
        <v>#N/A</v>
      </c>
      <c r="O65" t="e">
        <f>IF($E65="Perfumería",$H65,NA())</f>
        <v>#N/A</v>
      </c>
      <c r="P65" t="e">
        <f>IF($E65="Cuidado Facial",$G65,NA())</f>
        <v>#N/A</v>
      </c>
      <c r="Q65" t="e">
        <f>IF($E65="Cuidado Facial",$H65,NA())</f>
        <v>#N/A</v>
      </c>
      <c r="R65" t="e">
        <f>IF($E65="Capilar",$G65,NA())</f>
        <v>#N/A</v>
      </c>
      <c r="S65" t="e">
        <f>IF($E65="Capilar",$H65,NA())</f>
        <v>#N/A</v>
      </c>
      <c r="T65" s="6" t="str">
        <f t="shared" si="0"/>
        <v>Febrero</v>
      </c>
    </row>
    <row r="66" spans="1:20" ht="15" customHeight="1" x14ac:dyDescent="0.25">
      <c r="A66" s="5">
        <v>46368</v>
      </c>
      <c r="B66" s="6" t="s">
        <v>46</v>
      </c>
      <c r="C66" s="6" t="s">
        <v>31</v>
      </c>
      <c r="D66" s="6" t="s">
        <v>39</v>
      </c>
      <c r="E66" s="6" t="s">
        <v>40</v>
      </c>
      <c r="F66" s="6">
        <v>10</v>
      </c>
      <c r="G66" s="7">
        <v>2002.42</v>
      </c>
      <c r="H66" s="7">
        <v>998.35</v>
      </c>
      <c r="I66" s="7">
        <v>20024.2</v>
      </c>
      <c r="J66" s="7">
        <v>9983.5</v>
      </c>
      <c r="K66" s="7">
        <v>10040.700000000001</v>
      </c>
      <c r="L66" t="e">
        <f>IF($E66="Maquillaje",$G66,NA())</f>
        <v>#N/A</v>
      </c>
      <c r="M66" t="e">
        <f>IF($E66="Maquillaje",$H66,NA())</f>
        <v>#N/A</v>
      </c>
      <c r="N66" t="e">
        <f>IF($E66="Perfumería",$G66,NA())</f>
        <v>#N/A</v>
      </c>
      <c r="O66" t="e">
        <f>IF($E66="Perfumería",$H66,NA())</f>
        <v>#N/A</v>
      </c>
      <c r="P66" s="8">
        <f>IF($E66="Cuidado Facial",$G66,NA())</f>
        <v>2002.42</v>
      </c>
      <c r="Q66" s="8">
        <f>IF($E66="Cuidado Facial",$H66,NA())</f>
        <v>998.35</v>
      </c>
      <c r="R66" t="e">
        <f>IF($E66="Capilar",$G66,NA())</f>
        <v>#N/A</v>
      </c>
      <c r="S66" t="e">
        <f>IF($E66="Capilar",$H66,NA())</f>
        <v>#N/A</v>
      </c>
      <c r="T66" s="6" t="str">
        <f t="shared" ref="T66:T129" si="1">CHOOSE(MONTH(A66),"Enero","Febrero","Marzo","Abril","Mayo","Junio","Julio","Agosto","Septiembre","Octubre","Noviembre","Diciembre")</f>
        <v>Diciembre</v>
      </c>
    </row>
    <row r="67" spans="1:20" ht="15" customHeight="1" x14ac:dyDescent="0.25">
      <c r="A67" s="5">
        <v>46143</v>
      </c>
      <c r="B67" s="6" t="s">
        <v>46</v>
      </c>
      <c r="C67" s="6" t="s">
        <v>31</v>
      </c>
      <c r="D67" s="6" t="s">
        <v>36</v>
      </c>
      <c r="E67" s="6" t="s">
        <v>37</v>
      </c>
      <c r="F67" s="6">
        <v>5</v>
      </c>
      <c r="G67" s="7">
        <v>1592.81</v>
      </c>
      <c r="H67" s="7">
        <v>781.14</v>
      </c>
      <c r="I67" s="7">
        <v>7964.05</v>
      </c>
      <c r="J67" s="7">
        <v>3905.7</v>
      </c>
      <c r="K67" s="7">
        <v>4058.35</v>
      </c>
      <c r="L67" s="8">
        <f>IF($E67="Maquillaje",$G67,NA())</f>
        <v>1592.81</v>
      </c>
      <c r="M67" s="8">
        <f>IF($E67="Maquillaje",$H67,NA())</f>
        <v>781.14</v>
      </c>
      <c r="N67" t="e">
        <f>IF($E67="Perfumería",$G67,NA())</f>
        <v>#N/A</v>
      </c>
      <c r="O67" t="e">
        <f>IF($E67="Perfumería",$H67,NA())</f>
        <v>#N/A</v>
      </c>
      <c r="P67" t="e">
        <f>IF($E67="Cuidado Facial",$G67,NA())</f>
        <v>#N/A</v>
      </c>
      <c r="Q67" t="e">
        <f>IF($E67="Cuidado Facial",$H67,NA())</f>
        <v>#N/A</v>
      </c>
      <c r="R67" t="e">
        <f>IF($E67="Capilar",$G67,NA())</f>
        <v>#N/A</v>
      </c>
      <c r="S67" t="e">
        <f>IF($E67="Capilar",$H67,NA())</f>
        <v>#N/A</v>
      </c>
      <c r="T67" s="6" t="str">
        <f t="shared" si="1"/>
        <v>Mayo</v>
      </c>
    </row>
    <row r="68" spans="1:20" ht="15" customHeight="1" x14ac:dyDescent="0.25">
      <c r="A68" s="5">
        <v>46041</v>
      </c>
      <c r="B68" s="6" t="s">
        <v>41</v>
      </c>
      <c r="C68" s="6" t="s">
        <v>35</v>
      </c>
      <c r="D68" s="6" t="s">
        <v>49</v>
      </c>
      <c r="E68" s="6" t="s">
        <v>40</v>
      </c>
      <c r="F68" s="6">
        <v>15</v>
      </c>
      <c r="G68" s="7">
        <v>1725.72</v>
      </c>
      <c r="H68" s="7">
        <v>831.46</v>
      </c>
      <c r="I68" s="7">
        <v>25885.8</v>
      </c>
      <c r="J68" s="7">
        <v>12471.9</v>
      </c>
      <c r="K68" s="7">
        <v>13413.9</v>
      </c>
      <c r="L68" t="e">
        <f>IF($E68="Maquillaje",$G68,NA())</f>
        <v>#N/A</v>
      </c>
      <c r="M68" t="e">
        <f>IF($E68="Maquillaje",$H68,NA())</f>
        <v>#N/A</v>
      </c>
      <c r="N68" t="e">
        <f>IF($E68="Perfumería",$G68,NA())</f>
        <v>#N/A</v>
      </c>
      <c r="O68" t="e">
        <f>IF($E68="Perfumería",$H68,NA())</f>
        <v>#N/A</v>
      </c>
      <c r="P68" s="8">
        <f>IF($E68="Cuidado Facial",$G68,NA())</f>
        <v>1725.72</v>
      </c>
      <c r="Q68" s="8">
        <f>IF($E68="Cuidado Facial",$H68,NA())</f>
        <v>831.46</v>
      </c>
      <c r="R68" t="e">
        <f>IF($E68="Capilar",$G68,NA())</f>
        <v>#N/A</v>
      </c>
      <c r="S68" t="e">
        <f>IF($E68="Capilar",$H68,NA())</f>
        <v>#N/A</v>
      </c>
      <c r="T68" s="6" t="str">
        <f t="shared" si="1"/>
        <v>Enero</v>
      </c>
    </row>
    <row r="69" spans="1:20" ht="15" customHeight="1" x14ac:dyDescent="0.25">
      <c r="A69" s="5">
        <v>46061</v>
      </c>
      <c r="B69" s="6" t="s">
        <v>30</v>
      </c>
      <c r="C69" s="6" t="s">
        <v>35</v>
      </c>
      <c r="D69" s="6" t="s">
        <v>44</v>
      </c>
      <c r="E69" s="6" t="s">
        <v>37</v>
      </c>
      <c r="F69" s="6">
        <v>11</v>
      </c>
      <c r="G69" s="7">
        <v>1223.08</v>
      </c>
      <c r="H69" s="7">
        <v>665.59</v>
      </c>
      <c r="I69" s="7">
        <v>13453.88</v>
      </c>
      <c r="J69" s="7">
        <v>7321.49</v>
      </c>
      <c r="K69" s="7">
        <v>6132.39</v>
      </c>
      <c r="L69" s="8">
        <f>IF($E69="Maquillaje",$G69,NA())</f>
        <v>1223.08</v>
      </c>
      <c r="M69" s="8">
        <f>IF($E69="Maquillaje",$H69,NA())</f>
        <v>665.59</v>
      </c>
      <c r="N69" t="e">
        <f>IF($E69="Perfumería",$G69,NA())</f>
        <v>#N/A</v>
      </c>
      <c r="O69" t="e">
        <f>IF($E69="Perfumería",$H69,NA())</f>
        <v>#N/A</v>
      </c>
      <c r="P69" t="e">
        <f>IF($E69="Cuidado Facial",$G69,NA())</f>
        <v>#N/A</v>
      </c>
      <c r="Q69" t="e">
        <f>IF($E69="Cuidado Facial",$H69,NA())</f>
        <v>#N/A</v>
      </c>
      <c r="R69" t="e">
        <f>IF($E69="Capilar",$G69,NA())</f>
        <v>#N/A</v>
      </c>
      <c r="S69" t="e">
        <f>IF($E69="Capilar",$H69,NA())</f>
        <v>#N/A</v>
      </c>
      <c r="T69" s="6" t="str">
        <f t="shared" si="1"/>
        <v>Febrero</v>
      </c>
    </row>
    <row r="70" spans="1:20" ht="15" customHeight="1" x14ac:dyDescent="0.25">
      <c r="A70" s="5">
        <v>46127</v>
      </c>
      <c r="B70" s="6" t="s">
        <v>30</v>
      </c>
      <c r="C70" s="6" t="s">
        <v>35</v>
      </c>
      <c r="D70" s="6" t="s">
        <v>44</v>
      </c>
      <c r="E70" s="6" t="s">
        <v>37</v>
      </c>
      <c r="F70" s="6">
        <v>7</v>
      </c>
      <c r="G70" s="7">
        <v>1242.8</v>
      </c>
      <c r="H70" s="7">
        <v>609.07000000000005</v>
      </c>
      <c r="I70" s="7">
        <v>8699.6</v>
      </c>
      <c r="J70" s="7">
        <v>4263.49</v>
      </c>
      <c r="K70" s="7">
        <v>4436.1099999999997</v>
      </c>
      <c r="L70" s="8">
        <f>IF($E70="Maquillaje",$G70,NA())</f>
        <v>1242.8</v>
      </c>
      <c r="M70" s="8">
        <f>IF($E70="Maquillaje",$H70,NA())</f>
        <v>609.07000000000005</v>
      </c>
      <c r="N70" t="e">
        <f>IF($E70="Perfumería",$G70,NA())</f>
        <v>#N/A</v>
      </c>
      <c r="O70" t="e">
        <f>IF($E70="Perfumería",$H70,NA())</f>
        <v>#N/A</v>
      </c>
      <c r="P70" t="e">
        <f>IF($E70="Cuidado Facial",$G70,NA())</f>
        <v>#N/A</v>
      </c>
      <c r="Q70" t="e">
        <f>IF($E70="Cuidado Facial",$H70,NA())</f>
        <v>#N/A</v>
      </c>
      <c r="R70" t="e">
        <f>IF($E70="Capilar",$G70,NA())</f>
        <v>#N/A</v>
      </c>
      <c r="S70" t="e">
        <f>IF($E70="Capilar",$H70,NA())</f>
        <v>#N/A</v>
      </c>
      <c r="T70" s="6" t="str">
        <f t="shared" si="1"/>
        <v>Abril</v>
      </c>
    </row>
    <row r="71" spans="1:20" ht="15" customHeight="1" x14ac:dyDescent="0.25">
      <c r="A71" s="5">
        <v>46303</v>
      </c>
      <c r="B71" s="6" t="s">
        <v>41</v>
      </c>
      <c r="C71" s="6" t="s">
        <v>35</v>
      </c>
      <c r="D71" s="6" t="s">
        <v>47</v>
      </c>
      <c r="E71" s="6" t="s">
        <v>33</v>
      </c>
      <c r="F71" s="6">
        <v>9</v>
      </c>
      <c r="G71" s="7">
        <v>2938.34</v>
      </c>
      <c r="H71" s="7">
        <v>1492.38</v>
      </c>
      <c r="I71" s="7">
        <v>26445.06</v>
      </c>
      <c r="J71" s="7">
        <v>13431.42</v>
      </c>
      <c r="K71" s="7">
        <v>13013.64</v>
      </c>
      <c r="L71" t="e">
        <f>IF($E71="Maquillaje",$G71,NA())</f>
        <v>#N/A</v>
      </c>
      <c r="M71" t="e">
        <f>IF($E71="Maquillaje",$H71,NA())</f>
        <v>#N/A</v>
      </c>
      <c r="N71" s="8">
        <f>IF($E71="Perfumería",$G71,NA())</f>
        <v>2938.34</v>
      </c>
      <c r="O71" s="8">
        <f>IF($E71="Perfumería",$H71,NA())</f>
        <v>1492.38</v>
      </c>
      <c r="P71" t="e">
        <f>IF($E71="Cuidado Facial",$G71,NA())</f>
        <v>#N/A</v>
      </c>
      <c r="Q71" t="e">
        <f>IF($E71="Cuidado Facial",$H71,NA())</f>
        <v>#N/A</v>
      </c>
      <c r="R71" t="e">
        <f>IF($E71="Capilar",$G71,NA())</f>
        <v>#N/A</v>
      </c>
      <c r="S71" t="e">
        <f>IF($E71="Capilar",$H71,NA())</f>
        <v>#N/A</v>
      </c>
      <c r="T71" s="6" t="str">
        <f t="shared" si="1"/>
        <v>Octubre</v>
      </c>
    </row>
    <row r="72" spans="1:20" ht="15" customHeight="1" x14ac:dyDescent="0.25">
      <c r="A72" s="5">
        <v>46180</v>
      </c>
      <c r="B72" s="6" t="s">
        <v>30</v>
      </c>
      <c r="C72" s="6" t="s">
        <v>48</v>
      </c>
      <c r="D72" s="6" t="s">
        <v>42</v>
      </c>
      <c r="E72" s="6" t="s">
        <v>43</v>
      </c>
      <c r="F72" s="6">
        <v>1</v>
      </c>
      <c r="G72" s="7">
        <v>1019.21</v>
      </c>
      <c r="H72" s="7">
        <v>527.67999999999995</v>
      </c>
      <c r="I72" s="7">
        <v>1019.21</v>
      </c>
      <c r="J72" s="7">
        <v>527.67999999999995</v>
      </c>
      <c r="K72" s="7">
        <v>491.53</v>
      </c>
      <c r="L72" t="e">
        <f>IF($E72="Maquillaje",$G72,NA())</f>
        <v>#N/A</v>
      </c>
      <c r="M72" t="e">
        <f>IF($E72="Maquillaje",$H72,NA())</f>
        <v>#N/A</v>
      </c>
      <c r="N72" t="e">
        <f>IF($E72="Perfumería",$G72,NA())</f>
        <v>#N/A</v>
      </c>
      <c r="O72" t="e">
        <f>IF($E72="Perfumería",$H72,NA())</f>
        <v>#N/A</v>
      </c>
      <c r="P72" t="e">
        <f>IF($E72="Cuidado Facial",$G72,NA())</f>
        <v>#N/A</v>
      </c>
      <c r="Q72" t="e">
        <f>IF($E72="Cuidado Facial",$H72,NA())</f>
        <v>#N/A</v>
      </c>
      <c r="R72" s="8">
        <f>IF($E72="Capilar",$G72,NA())</f>
        <v>1019.21</v>
      </c>
      <c r="S72" s="8">
        <f>IF($E72="Capilar",$H72,NA())</f>
        <v>527.67999999999995</v>
      </c>
      <c r="T72" s="6" t="str">
        <f t="shared" si="1"/>
        <v>Junio</v>
      </c>
    </row>
    <row r="73" spans="1:20" ht="15" customHeight="1" x14ac:dyDescent="0.25">
      <c r="A73" s="5">
        <v>46127</v>
      </c>
      <c r="B73" s="6" t="s">
        <v>41</v>
      </c>
      <c r="C73" s="6" t="s">
        <v>35</v>
      </c>
      <c r="D73" s="6" t="s">
        <v>36</v>
      </c>
      <c r="E73" s="6" t="s">
        <v>37</v>
      </c>
      <c r="F73" s="6">
        <v>7</v>
      </c>
      <c r="G73" s="7">
        <v>1472.56</v>
      </c>
      <c r="H73" s="7">
        <v>758.9</v>
      </c>
      <c r="I73" s="7">
        <v>10307.92</v>
      </c>
      <c r="J73" s="7">
        <v>5312.3</v>
      </c>
      <c r="K73" s="7">
        <v>4995.62</v>
      </c>
      <c r="L73" s="8">
        <f>IF($E73="Maquillaje",$G73,NA())</f>
        <v>1472.56</v>
      </c>
      <c r="M73" s="8">
        <f>IF($E73="Maquillaje",$H73,NA())</f>
        <v>758.9</v>
      </c>
      <c r="N73" t="e">
        <f>IF($E73="Perfumería",$G73,NA())</f>
        <v>#N/A</v>
      </c>
      <c r="O73" t="e">
        <f>IF($E73="Perfumería",$H73,NA())</f>
        <v>#N/A</v>
      </c>
      <c r="P73" t="e">
        <f>IF($E73="Cuidado Facial",$G73,NA())</f>
        <v>#N/A</v>
      </c>
      <c r="Q73" t="e">
        <f>IF($E73="Cuidado Facial",$H73,NA())</f>
        <v>#N/A</v>
      </c>
      <c r="R73" t="e">
        <f>IF($E73="Capilar",$G73,NA())</f>
        <v>#N/A</v>
      </c>
      <c r="S73" t="e">
        <f>IF($E73="Capilar",$H73,NA())</f>
        <v>#N/A</v>
      </c>
      <c r="T73" s="6" t="str">
        <f t="shared" si="1"/>
        <v>Abril</v>
      </c>
    </row>
    <row r="74" spans="1:20" ht="15" customHeight="1" x14ac:dyDescent="0.25">
      <c r="A74" s="5">
        <v>46095</v>
      </c>
      <c r="B74" s="6" t="s">
        <v>41</v>
      </c>
      <c r="C74" s="6" t="s">
        <v>35</v>
      </c>
      <c r="D74" s="6" t="s">
        <v>47</v>
      </c>
      <c r="E74" s="6" t="s">
        <v>33</v>
      </c>
      <c r="F74" s="6">
        <v>6</v>
      </c>
      <c r="G74" s="7">
        <v>3061.31</v>
      </c>
      <c r="H74" s="7">
        <v>1606.77</v>
      </c>
      <c r="I74" s="7">
        <v>18367.86</v>
      </c>
      <c r="J74" s="7">
        <v>9640.6200000000008</v>
      </c>
      <c r="K74" s="7">
        <v>8727.24</v>
      </c>
      <c r="L74" t="e">
        <f>IF($E74="Maquillaje",$G74,NA())</f>
        <v>#N/A</v>
      </c>
      <c r="M74" t="e">
        <f>IF($E74="Maquillaje",$H74,NA())</f>
        <v>#N/A</v>
      </c>
      <c r="N74" s="8">
        <f>IF($E74="Perfumería",$G74,NA())</f>
        <v>3061.31</v>
      </c>
      <c r="O74" s="8">
        <f>IF($E74="Perfumería",$H74,NA())</f>
        <v>1606.77</v>
      </c>
      <c r="P74" t="e">
        <f>IF($E74="Cuidado Facial",$G74,NA())</f>
        <v>#N/A</v>
      </c>
      <c r="Q74" t="e">
        <f>IF($E74="Cuidado Facial",$H74,NA())</f>
        <v>#N/A</v>
      </c>
      <c r="R74" t="e">
        <f>IF($E74="Capilar",$G74,NA())</f>
        <v>#N/A</v>
      </c>
      <c r="S74" t="e">
        <f>IF($E74="Capilar",$H74,NA())</f>
        <v>#N/A</v>
      </c>
      <c r="T74" s="6" t="str">
        <f t="shared" si="1"/>
        <v>Marzo</v>
      </c>
    </row>
    <row r="75" spans="1:20" ht="15" customHeight="1" x14ac:dyDescent="0.25">
      <c r="A75" s="5">
        <v>46124</v>
      </c>
      <c r="B75" s="6" t="s">
        <v>30</v>
      </c>
      <c r="C75" s="6" t="s">
        <v>35</v>
      </c>
      <c r="D75" s="6" t="s">
        <v>44</v>
      </c>
      <c r="E75" s="6" t="s">
        <v>37</v>
      </c>
      <c r="F75" s="6">
        <v>15</v>
      </c>
      <c r="G75" s="7">
        <v>1232.73</v>
      </c>
      <c r="H75" s="7">
        <v>596.22</v>
      </c>
      <c r="I75" s="7">
        <v>18490.95</v>
      </c>
      <c r="J75" s="7">
        <v>8943.2999999999993</v>
      </c>
      <c r="K75" s="7">
        <v>9547.65</v>
      </c>
      <c r="L75" s="8">
        <f>IF($E75="Maquillaje",$G75,NA())</f>
        <v>1232.73</v>
      </c>
      <c r="M75" s="8">
        <f>IF($E75="Maquillaje",$H75,NA())</f>
        <v>596.22</v>
      </c>
      <c r="N75" t="e">
        <f>IF($E75="Perfumería",$G75,NA())</f>
        <v>#N/A</v>
      </c>
      <c r="O75" t="e">
        <f>IF($E75="Perfumería",$H75,NA())</f>
        <v>#N/A</v>
      </c>
      <c r="P75" t="e">
        <f>IF($E75="Cuidado Facial",$G75,NA())</f>
        <v>#N/A</v>
      </c>
      <c r="Q75" t="e">
        <f>IF($E75="Cuidado Facial",$H75,NA())</f>
        <v>#N/A</v>
      </c>
      <c r="R75" t="e">
        <f>IF($E75="Capilar",$G75,NA())</f>
        <v>#N/A</v>
      </c>
      <c r="S75" t="e">
        <f>IF($E75="Capilar",$H75,NA())</f>
        <v>#N/A</v>
      </c>
      <c r="T75" s="6" t="str">
        <f t="shared" si="1"/>
        <v>Abril</v>
      </c>
    </row>
    <row r="76" spans="1:20" ht="15" customHeight="1" x14ac:dyDescent="0.25">
      <c r="A76" s="5">
        <v>46350</v>
      </c>
      <c r="B76" s="6" t="s">
        <v>30</v>
      </c>
      <c r="C76" s="6" t="s">
        <v>35</v>
      </c>
      <c r="D76" s="6" t="s">
        <v>32</v>
      </c>
      <c r="E76" s="6" t="s">
        <v>33</v>
      </c>
      <c r="F76" s="6">
        <v>3</v>
      </c>
      <c r="G76" s="7">
        <v>3444.49</v>
      </c>
      <c r="H76" s="7">
        <v>1589.6</v>
      </c>
      <c r="I76" s="7">
        <v>10333.469999999999</v>
      </c>
      <c r="J76" s="7">
        <v>4768.8</v>
      </c>
      <c r="K76" s="7">
        <v>5564.67</v>
      </c>
      <c r="L76" t="e">
        <f>IF($E76="Maquillaje",$G76,NA())</f>
        <v>#N/A</v>
      </c>
      <c r="M76" t="e">
        <f>IF($E76="Maquillaje",$H76,NA())</f>
        <v>#N/A</v>
      </c>
      <c r="N76">
        <f>IF($E76="Perfumería",$G76,NA())</f>
        <v>3444.49</v>
      </c>
      <c r="O76">
        <f>IF($E76="Perfumería",$H76,NA())</f>
        <v>1589.6</v>
      </c>
      <c r="P76" t="e">
        <f>IF($E76="Cuidado Facial",$G76,NA())</f>
        <v>#N/A</v>
      </c>
      <c r="Q76" t="e">
        <f>IF($E76="Cuidado Facial",$H76,NA())</f>
        <v>#N/A</v>
      </c>
      <c r="R76" t="e">
        <f>IF($E76="Capilar",$G76,NA())</f>
        <v>#N/A</v>
      </c>
      <c r="S76" t="e">
        <f>IF($E76="Capilar",$H76,NA())</f>
        <v>#N/A</v>
      </c>
      <c r="T76" s="6" t="str">
        <f t="shared" si="1"/>
        <v>Noviembre</v>
      </c>
    </row>
    <row r="77" spans="1:20" ht="15" customHeight="1" x14ac:dyDescent="0.25">
      <c r="A77" s="5">
        <v>46099</v>
      </c>
      <c r="B77" s="6" t="s">
        <v>38</v>
      </c>
      <c r="C77" s="6" t="s">
        <v>31</v>
      </c>
      <c r="D77" s="6" t="s">
        <v>44</v>
      </c>
      <c r="E77" s="6" t="s">
        <v>37</v>
      </c>
      <c r="F77" s="6">
        <v>14</v>
      </c>
      <c r="G77" s="7">
        <v>1157.81</v>
      </c>
      <c r="H77" s="7">
        <v>635.67999999999995</v>
      </c>
      <c r="I77" s="7">
        <v>16209.34</v>
      </c>
      <c r="J77" s="7">
        <v>8899.52</v>
      </c>
      <c r="K77" s="7">
        <v>7309.82</v>
      </c>
      <c r="L77" s="8">
        <f>IF($E77="Maquillaje",$G77,NA())</f>
        <v>1157.81</v>
      </c>
      <c r="M77" s="8">
        <f>IF($E77="Maquillaje",$H77,NA())</f>
        <v>635.67999999999995</v>
      </c>
      <c r="N77" t="e">
        <f>IF($E77="Perfumería",$G77,NA())</f>
        <v>#N/A</v>
      </c>
      <c r="O77" t="e">
        <f>IF($E77="Perfumería",$H77,NA())</f>
        <v>#N/A</v>
      </c>
      <c r="P77" t="e">
        <f>IF($E77="Cuidado Facial",$G77,NA())</f>
        <v>#N/A</v>
      </c>
      <c r="Q77" t="e">
        <f>IF($E77="Cuidado Facial",$H77,NA())</f>
        <v>#N/A</v>
      </c>
      <c r="R77" t="e">
        <f>IF($E77="Capilar",$G77,NA())</f>
        <v>#N/A</v>
      </c>
      <c r="S77" t="e">
        <f>IF($E77="Capilar",$H77,NA())</f>
        <v>#N/A</v>
      </c>
      <c r="T77" s="6" t="str">
        <f t="shared" si="1"/>
        <v>Marzo</v>
      </c>
    </row>
    <row r="78" spans="1:20" ht="15" customHeight="1" x14ac:dyDescent="0.25">
      <c r="A78" s="5">
        <v>46143</v>
      </c>
      <c r="B78" s="6" t="s">
        <v>38</v>
      </c>
      <c r="C78" s="6" t="s">
        <v>31</v>
      </c>
      <c r="D78" s="6" t="s">
        <v>45</v>
      </c>
      <c r="E78" s="6" t="s">
        <v>43</v>
      </c>
      <c r="F78" s="6">
        <v>2</v>
      </c>
      <c r="G78" s="7">
        <v>1004.77</v>
      </c>
      <c r="H78" s="7">
        <v>544.16</v>
      </c>
      <c r="I78" s="7">
        <v>2009.54</v>
      </c>
      <c r="J78" s="7">
        <v>1088.32</v>
      </c>
      <c r="K78" s="7">
        <v>921.22</v>
      </c>
      <c r="L78" t="e">
        <f>IF($E78="Maquillaje",$G78,NA())</f>
        <v>#N/A</v>
      </c>
      <c r="M78" t="e">
        <f>IF($E78="Maquillaje",$H78,NA())</f>
        <v>#N/A</v>
      </c>
      <c r="N78" t="e">
        <f>IF($E78="Perfumería",$G78,NA())</f>
        <v>#N/A</v>
      </c>
      <c r="O78" t="e">
        <f>IF($E78="Perfumería",$H78,NA())</f>
        <v>#N/A</v>
      </c>
      <c r="P78" t="e">
        <f>IF($E78="Cuidado Facial",$G78,NA())</f>
        <v>#N/A</v>
      </c>
      <c r="Q78" t="e">
        <f>IF($E78="Cuidado Facial",$H78,NA())</f>
        <v>#N/A</v>
      </c>
      <c r="R78" s="8">
        <f>IF($E78="Capilar",$G78,NA())</f>
        <v>1004.77</v>
      </c>
      <c r="S78" s="8">
        <f>IF($E78="Capilar",$H78,NA())</f>
        <v>544.16</v>
      </c>
      <c r="T78" s="6" t="str">
        <f t="shared" si="1"/>
        <v>Mayo</v>
      </c>
    </row>
    <row r="79" spans="1:20" ht="15" customHeight="1" x14ac:dyDescent="0.25">
      <c r="A79" s="5">
        <v>46359</v>
      </c>
      <c r="B79" s="6" t="s">
        <v>38</v>
      </c>
      <c r="C79" s="6" t="s">
        <v>31</v>
      </c>
      <c r="D79" s="6" t="s">
        <v>49</v>
      </c>
      <c r="E79" s="6" t="s">
        <v>40</v>
      </c>
      <c r="F79" s="6">
        <v>9</v>
      </c>
      <c r="G79" s="7">
        <v>1648.79</v>
      </c>
      <c r="H79" s="7">
        <v>945.37</v>
      </c>
      <c r="I79" s="7">
        <v>14839.11</v>
      </c>
      <c r="J79" s="7">
        <v>8508.33</v>
      </c>
      <c r="K79" s="7">
        <v>6330.78</v>
      </c>
      <c r="L79" t="e">
        <f>IF($E79="Maquillaje",$G79,NA())</f>
        <v>#N/A</v>
      </c>
      <c r="M79" t="e">
        <f>IF($E79="Maquillaje",$H79,NA())</f>
        <v>#N/A</v>
      </c>
      <c r="N79" t="e">
        <f>IF($E79="Perfumería",$G79,NA())</f>
        <v>#N/A</v>
      </c>
      <c r="O79" t="e">
        <f>IF($E79="Perfumería",$H79,NA())</f>
        <v>#N/A</v>
      </c>
      <c r="P79" s="8">
        <f>IF($E79="Cuidado Facial",$G79,NA())</f>
        <v>1648.79</v>
      </c>
      <c r="Q79" s="8">
        <f>IF($E79="Cuidado Facial",$H79,NA())</f>
        <v>945.37</v>
      </c>
      <c r="R79" t="e">
        <f>IF($E79="Capilar",$G79,NA())</f>
        <v>#N/A</v>
      </c>
      <c r="S79" t="e">
        <f>IF($E79="Capilar",$H79,NA())</f>
        <v>#N/A</v>
      </c>
      <c r="T79" s="6" t="str">
        <f t="shared" si="1"/>
        <v>Diciembre</v>
      </c>
    </row>
    <row r="80" spans="1:20" ht="15" customHeight="1" x14ac:dyDescent="0.25">
      <c r="A80" s="5">
        <v>46036</v>
      </c>
      <c r="B80" s="6" t="s">
        <v>38</v>
      </c>
      <c r="C80" s="6" t="s">
        <v>31</v>
      </c>
      <c r="D80" s="6" t="s">
        <v>47</v>
      </c>
      <c r="E80" s="6" t="s">
        <v>33</v>
      </c>
      <c r="F80" s="6">
        <v>5</v>
      </c>
      <c r="G80" s="7">
        <v>3492.25</v>
      </c>
      <c r="H80" s="7">
        <v>1733.13</v>
      </c>
      <c r="I80" s="7">
        <v>17461.25</v>
      </c>
      <c r="J80" s="7">
        <v>8665.65</v>
      </c>
      <c r="K80" s="7">
        <v>8795.6</v>
      </c>
      <c r="L80" t="e">
        <f>IF($E80="Maquillaje",$G80,NA())</f>
        <v>#N/A</v>
      </c>
      <c r="M80" t="e">
        <f>IF($E80="Maquillaje",$H80,NA())</f>
        <v>#N/A</v>
      </c>
      <c r="N80">
        <f>IF($E80="Perfumería",$G80,NA())</f>
        <v>3492.25</v>
      </c>
      <c r="O80">
        <f>IF($E80="Perfumería",$H80,NA())</f>
        <v>1733.13</v>
      </c>
      <c r="P80" t="e">
        <f>IF($E80="Cuidado Facial",$G80,NA())</f>
        <v>#N/A</v>
      </c>
      <c r="Q80" t="e">
        <f>IF($E80="Cuidado Facial",$H80,NA())</f>
        <v>#N/A</v>
      </c>
      <c r="R80" t="e">
        <f>IF($E80="Capilar",$G80,NA())</f>
        <v>#N/A</v>
      </c>
      <c r="S80" t="e">
        <f>IF($E80="Capilar",$H80,NA())</f>
        <v>#N/A</v>
      </c>
      <c r="T80" s="6" t="str">
        <f t="shared" si="1"/>
        <v>Enero</v>
      </c>
    </row>
    <row r="81" spans="1:20" ht="15" customHeight="1" x14ac:dyDescent="0.25">
      <c r="A81" s="5">
        <v>46056</v>
      </c>
      <c r="B81" s="6" t="s">
        <v>38</v>
      </c>
      <c r="C81" s="6" t="s">
        <v>31</v>
      </c>
      <c r="D81" s="6" t="s">
        <v>49</v>
      </c>
      <c r="E81" s="6" t="s">
        <v>40</v>
      </c>
      <c r="F81" s="6">
        <v>5</v>
      </c>
      <c r="G81" s="7">
        <v>1945.82</v>
      </c>
      <c r="H81" s="7">
        <v>892.15</v>
      </c>
      <c r="I81" s="7">
        <v>9729.1</v>
      </c>
      <c r="J81" s="7">
        <v>4460.75</v>
      </c>
      <c r="K81" s="7">
        <v>5268.35</v>
      </c>
      <c r="L81" t="e">
        <f>IF($E81="Maquillaje",$G81,NA())</f>
        <v>#N/A</v>
      </c>
      <c r="M81" t="e">
        <f>IF($E81="Maquillaje",$H81,NA())</f>
        <v>#N/A</v>
      </c>
      <c r="N81" t="e">
        <f>IF($E81="Perfumería",$G81,NA())</f>
        <v>#N/A</v>
      </c>
      <c r="O81" t="e">
        <f>IF($E81="Perfumería",$H81,NA())</f>
        <v>#N/A</v>
      </c>
      <c r="P81" s="8">
        <f>IF($E81="Cuidado Facial",$G81,NA())</f>
        <v>1945.82</v>
      </c>
      <c r="Q81" s="8">
        <f>IF($E81="Cuidado Facial",$H81,NA())</f>
        <v>892.15</v>
      </c>
      <c r="R81" t="e">
        <f>IF($E81="Capilar",$G81,NA())</f>
        <v>#N/A</v>
      </c>
      <c r="S81" t="e">
        <f>IF($E81="Capilar",$H81,NA())</f>
        <v>#N/A</v>
      </c>
      <c r="T81" s="6" t="str">
        <f t="shared" si="1"/>
        <v>Febrero</v>
      </c>
    </row>
    <row r="82" spans="1:20" ht="15" customHeight="1" x14ac:dyDescent="0.25">
      <c r="A82" s="5">
        <v>46326</v>
      </c>
      <c r="B82" s="6" t="s">
        <v>46</v>
      </c>
      <c r="C82" s="6" t="s">
        <v>31</v>
      </c>
      <c r="D82" s="6" t="s">
        <v>49</v>
      </c>
      <c r="E82" s="6" t="s">
        <v>40</v>
      </c>
      <c r="F82" s="6">
        <v>4</v>
      </c>
      <c r="G82" s="7">
        <v>1685.55</v>
      </c>
      <c r="H82" s="7">
        <v>839.02</v>
      </c>
      <c r="I82" s="7">
        <v>6742.2</v>
      </c>
      <c r="J82" s="7">
        <v>3356.08</v>
      </c>
      <c r="K82" s="7">
        <v>3386.12</v>
      </c>
      <c r="L82" t="e">
        <f>IF($E82="Maquillaje",$G82,NA())</f>
        <v>#N/A</v>
      </c>
      <c r="M82" t="e">
        <f>IF($E82="Maquillaje",$H82,NA())</f>
        <v>#N/A</v>
      </c>
      <c r="N82" t="e">
        <f>IF($E82="Perfumería",$G82,NA())</f>
        <v>#N/A</v>
      </c>
      <c r="O82" t="e">
        <f>IF($E82="Perfumería",$H82,NA())</f>
        <v>#N/A</v>
      </c>
      <c r="P82" s="8">
        <f>IF($E82="Cuidado Facial",$G82,NA())</f>
        <v>1685.55</v>
      </c>
      <c r="Q82" s="8">
        <f>IF($E82="Cuidado Facial",$H82,NA())</f>
        <v>839.02</v>
      </c>
      <c r="R82" t="e">
        <f>IF($E82="Capilar",$G82,NA())</f>
        <v>#N/A</v>
      </c>
      <c r="S82" t="e">
        <f>IF($E82="Capilar",$H82,NA())</f>
        <v>#N/A</v>
      </c>
      <c r="T82" s="6" t="str">
        <f t="shared" si="1"/>
        <v>Octubre</v>
      </c>
    </row>
    <row r="83" spans="1:20" ht="15" customHeight="1" x14ac:dyDescent="0.25">
      <c r="A83" s="5">
        <v>46109</v>
      </c>
      <c r="B83" s="6" t="s">
        <v>34</v>
      </c>
      <c r="C83" s="6" t="s">
        <v>35</v>
      </c>
      <c r="D83" s="6" t="s">
        <v>49</v>
      </c>
      <c r="E83" s="6" t="s">
        <v>40</v>
      </c>
      <c r="F83" s="6">
        <v>9</v>
      </c>
      <c r="G83" s="7">
        <v>1807.72</v>
      </c>
      <c r="H83" s="7">
        <v>933.97</v>
      </c>
      <c r="I83" s="7">
        <v>16269.48</v>
      </c>
      <c r="J83" s="7">
        <v>8405.73</v>
      </c>
      <c r="K83" s="7">
        <v>7863.75</v>
      </c>
      <c r="L83" t="e">
        <f>IF($E83="Maquillaje",$G83,NA())</f>
        <v>#N/A</v>
      </c>
      <c r="M83" t="e">
        <f>IF($E83="Maquillaje",$H83,NA())</f>
        <v>#N/A</v>
      </c>
      <c r="N83" t="e">
        <f>IF($E83="Perfumería",$G83,NA())</f>
        <v>#N/A</v>
      </c>
      <c r="O83" t="e">
        <f>IF($E83="Perfumería",$H83,NA())</f>
        <v>#N/A</v>
      </c>
      <c r="P83" s="8">
        <f>IF($E83="Cuidado Facial",$G83,NA())</f>
        <v>1807.72</v>
      </c>
      <c r="Q83" s="8">
        <f>IF($E83="Cuidado Facial",$H83,NA())</f>
        <v>933.97</v>
      </c>
      <c r="R83" t="e">
        <f>IF($E83="Capilar",$G83,NA())</f>
        <v>#N/A</v>
      </c>
      <c r="S83" t="e">
        <f>IF($E83="Capilar",$H83,NA())</f>
        <v>#N/A</v>
      </c>
      <c r="T83" s="6" t="str">
        <f t="shared" si="1"/>
        <v>Marzo</v>
      </c>
    </row>
    <row r="84" spans="1:20" ht="15" customHeight="1" x14ac:dyDescent="0.25">
      <c r="A84" s="5">
        <v>46224</v>
      </c>
      <c r="B84" s="6" t="s">
        <v>41</v>
      </c>
      <c r="C84" s="6" t="s">
        <v>35</v>
      </c>
      <c r="D84" s="6" t="s">
        <v>49</v>
      </c>
      <c r="E84" s="6" t="s">
        <v>40</v>
      </c>
      <c r="F84" s="6">
        <v>3</v>
      </c>
      <c r="G84" s="7">
        <v>1749.69</v>
      </c>
      <c r="H84" s="7">
        <v>947.64</v>
      </c>
      <c r="I84" s="7">
        <v>5249.07</v>
      </c>
      <c r="J84" s="7">
        <v>2842.92</v>
      </c>
      <c r="K84" s="7">
        <v>2406.15</v>
      </c>
      <c r="L84" t="e">
        <f>IF($E84="Maquillaje",$G84,NA())</f>
        <v>#N/A</v>
      </c>
      <c r="M84" t="e">
        <f>IF($E84="Maquillaje",$H84,NA())</f>
        <v>#N/A</v>
      </c>
      <c r="N84" t="e">
        <f>IF($E84="Perfumería",$G84,NA())</f>
        <v>#N/A</v>
      </c>
      <c r="O84" t="e">
        <f>IF($E84="Perfumería",$H84,NA())</f>
        <v>#N/A</v>
      </c>
      <c r="P84" s="8">
        <f>IF($E84="Cuidado Facial",$G84,NA())</f>
        <v>1749.69</v>
      </c>
      <c r="Q84" s="8">
        <f>IF($E84="Cuidado Facial",$H84,NA())</f>
        <v>947.64</v>
      </c>
      <c r="R84" t="e">
        <f>IF($E84="Capilar",$G84,NA())</f>
        <v>#N/A</v>
      </c>
      <c r="S84" t="e">
        <f>IF($E84="Capilar",$H84,NA())</f>
        <v>#N/A</v>
      </c>
      <c r="T84" s="6" t="str">
        <f t="shared" si="1"/>
        <v>Julio</v>
      </c>
    </row>
    <row r="85" spans="1:20" ht="15" customHeight="1" x14ac:dyDescent="0.25">
      <c r="A85" s="5">
        <v>46047</v>
      </c>
      <c r="B85" s="6" t="s">
        <v>46</v>
      </c>
      <c r="C85" s="6" t="s">
        <v>31</v>
      </c>
      <c r="D85" s="6" t="s">
        <v>49</v>
      </c>
      <c r="E85" s="6" t="s">
        <v>40</v>
      </c>
      <c r="F85" s="6">
        <v>1</v>
      </c>
      <c r="G85" s="7">
        <v>1888.96</v>
      </c>
      <c r="H85" s="7">
        <v>849.89</v>
      </c>
      <c r="I85" s="7">
        <v>1888.96</v>
      </c>
      <c r="J85" s="7">
        <v>849.89</v>
      </c>
      <c r="K85" s="7">
        <v>1039.07</v>
      </c>
      <c r="L85" t="e">
        <f>IF($E85="Maquillaje",$G85,NA())</f>
        <v>#N/A</v>
      </c>
      <c r="M85" t="e">
        <f>IF($E85="Maquillaje",$H85,NA())</f>
        <v>#N/A</v>
      </c>
      <c r="N85" t="e">
        <f>IF($E85="Perfumería",$G85,NA())</f>
        <v>#N/A</v>
      </c>
      <c r="O85" t="e">
        <f>IF($E85="Perfumería",$H85,NA())</f>
        <v>#N/A</v>
      </c>
      <c r="P85" s="8">
        <f>IF($E85="Cuidado Facial",$G85,NA())</f>
        <v>1888.96</v>
      </c>
      <c r="Q85" s="8">
        <f>IF($E85="Cuidado Facial",$H85,NA())</f>
        <v>849.89</v>
      </c>
      <c r="R85" t="e">
        <f>IF($E85="Capilar",$G85,NA())</f>
        <v>#N/A</v>
      </c>
      <c r="S85" t="e">
        <f>IF($E85="Capilar",$H85,NA())</f>
        <v>#N/A</v>
      </c>
      <c r="T85" s="6" t="str">
        <f t="shared" si="1"/>
        <v>Enero</v>
      </c>
    </row>
    <row r="86" spans="1:20" ht="15" customHeight="1" x14ac:dyDescent="0.25">
      <c r="A86" s="5">
        <v>46209</v>
      </c>
      <c r="B86" s="6" t="s">
        <v>30</v>
      </c>
      <c r="C86" s="6" t="s">
        <v>35</v>
      </c>
      <c r="D86" s="6" t="s">
        <v>44</v>
      </c>
      <c r="E86" s="6" t="s">
        <v>37</v>
      </c>
      <c r="F86" s="6">
        <v>1</v>
      </c>
      <c r="G86" s="7">
        <v>1080.6300000000001</v>
      </c>
      <c r="H86" s="7">
        <v>631.15</v>
      </c>
      <c r="I86" s="7">
        <v>1080.6300000000001</v>
      </c>
      <c r="J86" s="7">
        <v>631.15</v>
      </c>
      <c r="K86" s="7">
        <v>449.48</v>
      </c>
      <c r="L86" s="8">
        <f>IF($E86="Maquillaje",$G86,NA())</f>
        <v>1080.6300000000001</v>
      </c>
      <c r="M86" s="8">
        <f>IF($E86="Maquillaje",$H86,NA())</f>
        <v>631.15</v>
      </c>
      <c r="N86" t="e">
        <f>IF($E86="Perfumería",$G86,NA())</f>
        <v>#N/A</v>
      </c>
      <c r="O86" t="e">
        <f>IF($E86="Perfumería",$H86,NA())</f>
        <v>#N/A</v>
      </c>
      <c r="P86" t="e">
        <f>IF($E86="Cuidado Facial",$G86,NA())</f>
        <v>#N/A</v>
      </c>
      <c r="Q86" t="e">
        <f>IF($E86="Cuidado Facial",$H86,NA())</f>
        <v>#N/A</v>
      </c>
      <c r="R86" t="e">
        <f>IF($E86="Capilar",$G86,NA())</f>
        <v>#N/A</v>
      </c>
      <c r="S86" t="e">
        <f>IF($E86="Capilar",$H86,NA())</f>
        <v>#N/A</v>
      </c>
      <c r="T86" s="6" t="str">
        <f t="shared" si="1"/>
        <v>Julio</v>
      </c>
    </row>
    <row r="87" spans="1:20" ht="15" customHeight="1" x14ac:dyDescent="0.25">
      <c r="A87" s="5">
        <v>46321</v>
      </c>
      <c r="B87" s="6" t="s">
        <v>30</v>
      </c>
      <c r="C87" s="6" t="s">
        <v>48</v>
      </c>
      <c r="D87" s="6" t="s">
        <v>45</v>
      </c>
      <c r="E87" s="6" t="s">
        <v>43</v>
      </c>
      <c r="F87" s="6">
        <v>3</v>
      </c>
      <c r="G87" s="7">
        <v>993.1</v>
      </c>
      <c r="H87" s="7">
        <v>593.77</v>
      </c>
      <c r="I87" s="7">
        <v>2979.3</v>
      </c>
      <c r="J87" s="7">
        <v>1781.31</v>
      </c>
      <c r="K87" s="7">
        <v>1197.99</v>
      </c>
      <c r="L87" t="e">
        <f>IF($E87="Maquillaje",$G87,NA())</f>
        <v>#N/A</v>
      </c>
      <c r="M87" t="e">
        <f>IF($E87="Maquillaje",$H87,NA())</f>
        <v>#N/A</v>
      </c>
      <c r="N87" t="e">
        <f>IF($E87="Perfumería",$G87,NA())</f>
        <v>#N/A</v>
      </c>
      <c r="O87" t="e">
        <f>IF($E87="Perfumería",$H87,NA())</f>
        <v>#N/A</v>
      </c>
      <c r="P87" t="e">
        <f>IF($E87="Cuidado Facial",$G87,NA())</f>
        <v>#N/A</v>
      </c>
      <c r="Q87" t="e">
        <f>IF($E87="Cuidado Facial",$H87,NA())</f>
        <v>#N/A</v>
      </c>
      <c r="R87" s="8">
        <f>IF($E87="Capilar",$G87,NA())</f>
        <v>993.1</v>
      </c>
      <c r="S87" s="8">
        <f>IF($E87="Capilar",$H87,NA())</f>
        <v>593.77</v>
      </c>
      <c r="T87" s="6" t="str">
        <f t="shared" si="1"/>
        <v>Octubre</v>
      </c>
    </row>
    <row r="88" spans="1:20" ht="15" customHeight="1" x14ac:dyDescent="0.25">
      <c r="A88" s="5">
        <v>46097</v>
      </c>
      <c r="B88" s="6" t="s">
        <v>41</v>
      </c>
      <c r="C88" s="6" t="s">
        <v>35</v>
      </c>
      <c r="D88" s="6" t="s">
        <v>44</v>
      </c>
      <c r="E88" s="6" t="s">
        <v>37</v>
      </c>
      <c r="F88" s="6">
        <v>11</v>
      </c>
      <c r="G88" s="7">
        <v>1277.01</v>
      </c>
      <c r="H88" s="7">
        <v>701.05</v>
      </c>
      <c r="I88" s="7">
        <v>14047.11</v>
      </c>
      <c r="J88" s="7">
        <v>7711.55</v>
      </c>
      <c r="K88" s="7">
        <v>6335.56</v>
      </c>
      <c r="L88" s="8">
        <f>IF($E88="Maquillaje",$G88,NA())</f>
        <v>1277.01</v>
      </c>
      <c r="M88" s="8">
        <f>IF($E88="Maquillaje",$H88,NA())</f>
        <v>701.05</v>
      </c>
      <c r="N88" t="e">
        <f>IF($E88="Perfumería",$G88,NA())</f>
        <v>#N/A</v>
      </c>
      <c r="O88" t="e">
        <f>IF($E88="Perfumería",$H88,NA())</f>
        <v>#N/A</v>
      </c>
      <c r="P88" t="e">
        <f>IF($E88="Cuidado Facial",$G88,NA())</f>
        <v>#N/A</v>
      </c>
      <c r="Q88" t="e">
        <f>IF($E88="Cuidado Facial",$H88,NA())</f>
        <v>#N/A</v>
      </c>
      <c r="R88" t="e">
        <f>IF($E88="Capilar",$G88,NA())</f>
        <v>#N/A</v>
      </c>
      <c r="S88" t="e">
        <f>IF($E88="Capilar",$H88,NA())</f>
        <v>#N/A</v>
      </c>
      <c r="T88" s="6" t="str">
        <f t="shared" si="1"/>
        <v>Marzo</v>
      </c>
    </row>
    <row r="89" spans="1:20" ht="15" customHeight="1" x14ac:dyDescent="0.25">
      <c r="A89" s="5">
        <v>46288</v>
      </c>
      <c r="B89" s="6" t="s">
        <v>30</v>
      </c>
      <c r="C89" s="6" t="s">
        <v>48</v>
      </c>
      <c r="D89" s="6" t="s">
        <v>44</v>
      </c>
      <c r="E89" s="6" t="s">
        <v>37</v>
      </c>
      <c r="F89" s="6">
        <v>9</v>
      </c>
      <c r="G89" s="7">
        <v>1086.05</v>
      </c>
      <c r="H89" s="7">
        <v>609.14</v>
      </c>
      <c r="I89" s="7">
        <v>9774.4500000000007</v>
      </c>
      <c r="J89" s="7">
        <v>5482.26</v>
      </c>
      <c r="K89" s="7">
        <v>4292.1899999999996</v>
      </c>
      <c r="L89" s="8">
        <f>IF($E89="Maquillaje",$G89,NA())</f>
        <v>1086.05</v>
      </c>
      <c r="M89" s="8">
        <f>IF($E89="Maquillaje",$H89,NA())</f>
        <v>609.14</v>
      </c>
      <c r="N89" t="e">
        <f>IF($E89="Perfumería",$G89,NA())</f>
        <v>#N/A</v>
      </c>
      <c r="O89" t="e">
        <f>IF($E89="Perfumería",$H89,NA())</f>
        <v>#N/A</v>
      </c>
      <c r="P89" t="e">
        <f>IF($E89="Cuidado Facial",$G89,NA())</f>
        <v>#N/A</v>
      </c>
      <c r="Q89" t="e">
        <f>IF($E89="Cuidado Facial",$H89,NA())</f>
        <v>#N/A</v>
      </c>
      <c r="R89" t="e">
        <f>IF($E89="Capilar",$G89,NA())</f>
        <v>#N/A</v>
      </c>
      <c r="S89" t="e">
        <f>IF($E89="Capilar",$H89,NA())</f>
        <v>#N/A</v>
      </c>
      <c r="T89" s="6" t="str">
        <f t="shared" si="1"/>
        <v>Septiembre</v>
      </c>
    </row>
    <row r="90" spans="1:20" ht="15" customHeight="1" x14ac:dyDescent="0.25">
      <c r="A90" s="5">
        <v>46336</v>
      </c>
      <c r="B90" s="6" t="s">
        <v>30</v>
      </c>
      <c r="C90" s="6" t="s">
        <v>48</v>
      </c>
      <c r="D90" s="6" t="s">
        <v>32</v>
      </c>
      <c r="E90" s="6" t="s">
        <v>33</v>
      </c>
      <c r="F90" s="6">
        <v>10</v>
      </c>
      <c r="G90" s="7">
        <v>3497.03</v>
      </c>
      <c r="H90" s="7">
        <v>1801.66</v>
      </c>
      <c r="I90" s="7">
        <v>34970.300000000003</v>
      </c>
      <c r="J90" s="7">
        <v>18016.599999999999</v>
      </c>
      <c r="K90" s="7">
        <v>16953.7</v>
      </c>
      <c r="L90" t="e">
        <f>IF($E90="Maquillaje",$G90,NA())</f>
        <v>#N/A</v>
      </c>
      <c r="M90" t="e">
        <f>IF($E90="Maquillaje",$H90,NA())</f>
        <v>#N/A</v>
      </c>
      <c r="N90" s="8">
        <f>IF($E90="Perfumería",$G90,NA())</f>
        <v>3497.03</v>
      </c>
      <c r="O90" s="8">
        <f>IF($E90="Perfumería",$H90,NA())</f>
        <v>1801.66</v>
      </c>
      <c r="P90" t="e">
        <f>IF($E90="Cuidado Facial",$G90,NA())</f>
        <v>#N/A</v>
      </c>
      <c r="Q90" t="e">
        <f>IF($E90="Cuidado Facial",$H90,NA())</f>
        <v>#N/A</v>
      </c>
      <c r="R90" t="e">
        <f>IF($E90="Capilar",$G90,NA())</f>
        <v>#N/A</v>
      </c>
      <c r="S90" t="e">
        <f>IF($E90="Capilar",$H90,NA())</f>
        <v>#N/A</v>
      </c>
      <c r="T90" s="6" t="str">
        <f t="shared" si="1"/>
        <v>Noviembre</v>
      </c>
    </row>
    <row r="91" spans="1:20" ht="15" customHeight="1" x14ac:dyDescent="0.25">
      <c r="A91" s="5">
        <v>46055</v>
      </c>
      <c r="B91" s="6" t="s">
        <v>30</v>
      </c>
      <c r="C91" s="6" t="s">
        <v>31</v>
      </c>
      <c r="D91" s="6" t="s">
        <v>44</v>
      </c>
      <c r="E91" s="6" t="s">
        <v>37</v>
      </c>
      <c r="F91" s="6">
        <v>14</v>
      </c>
      <c r="G91" s="7">
        <v>1184.8</v>
      </c>
      <c r="H91" s="7">
        <v>703.59</v>
      </c>
      <c r="I91" s="7">
        <v>16587.2</v>
      </c>
      <c r="J91" s="7">
        <v>9850.26</v>
      </c>
      <c r="K91" s="7">
        <v>6736.94</v>
      </c>
      <c r="L91" s="8">
        <f>IF($E91="Maquillaje",$G91,NA())</f>
        <v>1184.8</v>
      </c>
      <c r="M91" s="8">
        <f>IF($E91="Maquillaje",$H91,NA())</f>
        <v>703.59</v>
      </c>
      <c r="N91" t="e">
        <f>IF($E91="Perfumería",$G91,NA())</f>
        <v>#N/A</v>
      </c>
      <c r="O91" t="e">
        <f>IF($E91="Perfumería",$H91,NA())</f>
        <v>#N/A</v>
      </c>
      <c r="P91" t="e">
        <f>IF($E91="Cuidado Facial",$G91,NA())</f>
        <v>#N/A</v>
      </c>
      <c r="Q91" t="e">
        <f>IF($E91="Cuidado Facial",$H91,NA())</f>
        <v>#N/A</v>
      </c>
      <c r="R91" t="e">
        <f>IF($E91="Capilar",$G91,NA())</f>
        <v>#N/A</v>
      </c>
      <c r="S91" t="e">
        <f>IF($E91="Capilar",$H91,NA())</f>
        <v>#N/A</v>
      </c>
      <c r="T91" s="6" t="str">
        <f t="shared" si="1"/>
        <v>Febrero</v>
      </c>
    </row>
    <row r="92" spans="1:20" ht="15" customHeight="1" x14ac:dyDescent="0.25">
      <c r="A92" s="5">
        <v>46076</v>
      </c>
      <c r="B92" s="6" t="s">
        <v>38</v>
      </c>
      <c r="C92" s="6" t="s">
        <v>31</v>
      </c>
      <c r="D92" s="6" t="s">
        <v>49</v>
      </c>
      <c r="E92" s="6" t="s">
        <v>40</v>
      </c>
      <c r="F92" s="6">
        <v>15</v>
      </c>
      <c r="G92" s="7">
        <v>1870.24</v>
      </c>
      <c r="H92" s="7">
        <v>962.16</v>
      </c>
      <c r="I92" s="7">
        <v>28053.599999999999</v>
      </c>
      <c r="J92" s="7">
        <v>14432.4</v>
      </c>
      <c r="K92" s="7">
        <v>13621.2</v>
      </c>
      <c r="L92" t="e">
        <f>IF($E92="Maquillaje",$G92,NA())</f>
        <v>#N/A</v>
      </c>
      <c r="M92" t="e">
        <f>IF($E92="Maquillaje",$H92,NA())</f>
        <v>#N/A</v>
      </c>
      <c r="N92" t="e">
        <f>IF($E92="Perfumería",$G92,NA())</f>
        <v>#N/A</v>
      </c>
      <c r="O92" t="e">
        <f>IF($E92="Perfumería",$H92,NA())</f>
        <v>#N/A</v>
      </c>
      <c r="P92" s="8">
        <f>IF($E92="Cuidado Facial",$G92,NA())</f>
        <v>1870.24</v>
      </c>
      <c r="Q92" s="8">
        <f>IF($E92="Cuidado Facial",$H92,NA())</f>
        <v>962.16</v>
      </c>
      <c r="R92" t="e">
        <f>IF($E92="Capilar",$G92,NA())</f>
        <v>#N/A</v>
      </c>
      <c r="S92" t="e">
        <f>IF($E92="Capilar",$H92,NA())</f>
        <v>#N/A</v>
      </c>
      <c r="T92" s="6" t="str">
        <f t="shared" si="1"/>
        <v>Febrero</v>
      </c>
    </row>
    <row r="93" spans="1:20" ht="15" customHeight="1" x14ac:dyDescent="0.25">
      <c r="A93" s="5">
        <v>46246</v>
      </c>
      <c r="B93" s="6" t="s">
        <v>46</v>
      </c>
      <c r="C93" s="6" t="s">
        <v>31</v>
      </c>
      <c r="D93" s="6" t="s">
        <v>32</v>
      </c>
      <c r="E93" s="6" t="s">
        <v>33</v>
      </c>
      <c r="F93" s="6">
        <v>15</v>
      </c>
      <c r="G93" s="7">
        <v>3405.05</v>
      </c>
      <c r="H93" s="7">
        <v>1634.42</v>
      </c>
      <c r="I93" s="7">
        <v>51075.75</v>
      </c>
      <c r="J93" s="7">
        <v>24516.3</v>
      </c>
      <c r="K93" s="7">
        <v>26559.45</v>
      </c>
      <c r="L93" t="e">
        <f>IF($E93="Maquillaje",$G93,NA())</f>
        <v>#N/A</v>
      </c>
      <c r="M93" t="e">
        <f>IF($E93="Maquillaje",$H93,NA())</f>
        <v>#N/A</v>
      </c>
      <c r="N93" s="8">
        <f>IF($E93="Perfumería",$G93,NA())</f>
        <v>3405.05</v>
      </c>
      <c r="O93" s="8">
        <f>IF($E93="Perfumería",$H93,NA())</f>
        <v>1634.42</v>
      </c>
      <c r="P93" t="e">
        <f>IF($E93="Cuidado Facial",$G93,NA())</f>
        <v>#N/A</v>
      </c>
      <c r="Q93" t="e">
        <f>IF($E93="Cuidado Facial",$H93,NA())</f>
        <v>#N/A</v>
      </c>
      <c r="R93" t="e">
        <f>IF($E93="Capilar",$G93,NA())</f>
        <v>#N/A</v>
      </c>
      <c r="S93" t="e">
        <f>IF($E93="Capilar",$H93,NA())</f>
        <v>#N/A</v>
      </c>
      <c r="T93" s="6" t="str">
        <f t="shared" si="1"/>
        <v>Agosto</v>
      </c>
    </row>
    <row r="94" spans="1:20" ht="15" customHeight="1" x14ac:dyDescent="0.25">
      <c r="A94" s="5">
        <v>46104</v>
      </c>
      <c r="B94" s="6" t="s">
        <v>41</v>
      </c>
      <c r="C94" s="6" t="s">
        <v>35</v>
      </c>
      <c r="D94" s="6" t="s">
        <v>49</v>
      </c>
      <c r="E94" s="6" t="s">
        <v>40</v>
      </c>
      <c r="F94" s="6">
        <v>4</v>
      </c>
      <c r="G94" s="7">
        <v>1756.6</v>
      </c>
      <c r="H94" s="7">
        <v>963.35</v>
      </c>
      <c r="I94" s="7">
        <v>7026.4</v>
      </c>
      <c r="J94" s="7">
        <v>3853.4</v>
      </c>
      <c r="K94" s="7">
        <v>3173</v>
      </c>
      <c r="L94" t="e">
        <f>IF($E94="Maquillaje",$G94,NA())</f>
        <v>#N/A</v>
      </c>
      <c r="M94" t="e">
        <f>IF($E94="Maquillaje",$H94,NA())</f>
        <v>#N/A</v>
      </c>
      <c r="N94" t="e">
        <f>IF($E94="Perfumería",$G94,NA())</f>
        <v>#N/A</v>
      </c>
      <c r="O94" t="e">
        <f>IF($E94="Perfumería",$H94,NA())</f>
        <v>#N/A</v>
      </c>
      <c r="P94" s="8">
        <f>IF($E94="Cuidado Facial",$G94,NA())</f>
        <v>1756.6</v>
      </c>
      <c r="Q94" s="8">
        <f>IF($E94="Cuidado Facial",$H94,NA())</f>
        <v>963.35</v>
      </c>
      <c r="R94" t="e">
        <f>IF($E94="Capilar",$G94,NA())</f>
        <v>#N/A</v>
      </c>
      <c r="S94" t="e">
        <f>IF($E94="Capilar",$H94,NA())</f>
        <v>#N/A</v>
      </c>
      <c r="T94" s="6" t="str">
        <f t="shared" si="1"/>
        <v>Marzo</v>
      </c>
    </row>
    <row r="95" spans="1:20" ht="15" customHeight="1" x14ac:dyDescent="0.25">
      <c r="A95" s="5">
        <v>46297</v>
      </c>
      <c r="B95" s="6" t="s">
        <v>38</v>
      </c>
      <c r="C95" s="6" t="s">
        <v>31</v>
      </c>
      <c r="D95" s="6" t="s">
        <v>42</v>
      </c>
      <c r="E95" s="6" t="s">
        <v>43</v>
      </c>
      <c r="F95" s="6">
        <v>4</v>
      </c>
      <c r="G95" s="7">
        <v>963.36</v>
      </c>
      <c r="H95" s="7">
        <v>461.54</v>
      </c>
      <c r="I95" s="7">
        <v>3853.44</v>
      </c>
      <c r="J95" s="7">
        <v>1846.16</v>
      </c>
      <c r="K95" s="7">
        <v>2007.28</v>
      </c>
      <c r="L95" t="e">
        <f>IF($E95="Maquillaje",$G95,NA())</f>
        <v>#N/A</v>
      </c>
      <c r="M95" t="e">
        <f>IF($E95="Maquillaje",$H95,NA())</f>
        <v>#N/A</v>
      </c>
      <c r="N95" t="e">
        <f>IF($E95="Perfumería",$G95,NA())</f>
        <v>#N/A</v>
      </c>
      <c r="O95" t="e">
        <f>IF($E95="Perfumería",$H95,NA())</f>
        <v>#N/A</v>
      </c>
      <c r="P95" t="e">
        <f>IF($E95="Cuidado Facial",$G95,NA())</f>
        <v>#N/A</v>
      </c>
      <c r="Q95" t="e">
        <f>IF($E95="Cuidado Facial",$H95,NA())</f>
        <v>#N/A</v>
      </c>
      <c r="R95" s="8">
        <f>IF($E95="Capilar",$G95,NA())</f>
        <v>963.36</v>
      </c>
      <c r="S95" s="8">
        <f>IF($E95="Capilar",$H95,NA())</f>
        <v>461.54</v>
      </c>
      <c r="T95" s="6" t="str">
        <f t="shared" si="1"/>
        <v>Octubre</v>
      </c>
    </row>
    <row r="96" spans="1:20" ht="15" customHeight="1" x14ac:dyDescent="0.25">
      <c r="A96" s="5">
        <v>46110</v>
      </c>
      <c r="B96" s="6" t="s">
        <v>30</v>
      </c>
      <c r="C96" s="6" t="s">
        <v>48</v>
      </c>
      <c r="D96" s="6" t="s">
        <v>47</v>
      </c>
      <c r="E96" s="6" t="s">
        <v>33</v>
      </c>
      <c r="F96" s="6">
        <v>3</v>
      </c>
      <c r="G96" s="7">
        <v>3328.47</v>
      </c>
      <c r="H96" s="7">
        <v>1449.88</v>
      </c>
      <c r="I96" s="7">
        <v>9985.41</v>
      </c>
      <c r="J96" s="7">
        <v>4349.6400000000003</v>
      </c>
      <c r="K96" s="7">
        <v>5635.77</v>
      </c>
      <c r="L96" t="e">
        <f>IF($E96="Maquillaje",$G96,NA())</f>
        <v>#N/A</v>
      </c>
      <c r="M96" t="e">
        <f>IF($E96="Maquillaje",$H96,NA())</f>
        <v>#N/A</v>
      </c>
      <c r="N96">
        <f>IF($E96="Perfumería",$G96,NA())</f>
        <v>3328.47</v>
      </c>
      <c r="O96">
        <f>IF($E96="Perfumería",$H96,NA())</f>
        <v>1449.88</v>
      </c>
      <c r="P96" t="e">
        <f>IF($E96="Cuidado Facial",$G96,NA())</f>
        <v>#N/A</v>
      </c>
      <c r="Q96" t="e">
        <f>IF($E96="Cuidado Facial",$H96,NA())</f>
        <v>#N/A</v>
      </c>
      <c r="R96" t="e">
        <f>IF($E96="Capilar",$G96,NA())</f>
        <v>#N/A</v>
      </c>
      <c r="S96" t="e">
        <f>IF($E96="Capilar",$H96,NA())</f>
        <v>#N/A</v>
      </c>
      <c r="T96" s="6" t="str">
        <f t="shared" si="1"/>
        <v>Marzo</v>
      </c>
    </row>
    <row r="97" spans="1:20" ht="15" customHeight="1" x14ac:dyDescent="0.25">
      <c r="A97" s="5">
        <v>46057</v>
      </c>
      <c r="B97" s="6" t="s">
        <v>30</v>
      </c>
      <c r="C97" s="6" t="s">
        <v>31</v>
      </c>
      <c r="D97" s="6" t="s">
        <v>32</v>
      </c>
      <c r="E97" s="6" t="s">
        <v>33</v>
      </c>
      <c r="F97" s="6">
        <v>15</v>
      </c>
      <c r="G97" s="7">
        <v>3511.63</v>
      </c>
      <c r="H97" s="7">
        <v>1882.9</v>
      </c>
      <c r="I97" s="7">
        <v>52674.45</v>
      </c>
      <c r="J97" s="7">
        <v>28243.5</v>
      </c>
      <c r="K97" s="7">
        <v>24430.95</v>
      </c>
      <c r="L97" t="e">
        <f>IF($E97="Maquillaje",$G97,NA())</f>
        <v>#N/A</v>
      </c>
      <c r="M97" t="e">
        <f>IF($E97="Maquillaje",$H97,NA())</f>
        <v>#N/A</v>
      </c>
      <c r="N97" s="8">
        <f>IF($E97="Perfumería",$G97,NA())</f>
        <v>3511.63</v>
      </c>
      <c r="O97" s="8">
        <f>IF($E97="Perfumería",$H97,NA())</f>
        <v>1882.9</v>
      </c>
      <c r="P97" t="e">
        <f>IF($E97="Cuidado Facial",$G97,NA())</f>
        <v>#N/A</v>
      </c>
      <c r="Q97" t="e">
        <f>IF($E97="Cuidado Facial",$H97,NA())</f>
        <v>#N/A</v>
      </c>
      <c r="R97" t="e">
        <f>IF($E97="Capilar",$G97,NA())</f>
        <v>#N/A</v>
      </c>
      <c r="S97" t="e">
        <f>IF($E97="Capilar",$H97,NA())</f>
        <v>#N/A</v>
      </c>
      <c r="T97" s="6" t="str">
        <f t="shared" si="1"/>
        <v>Febrero</v>
      </c>
    </row>
    <row r="98" spans="1:20" ht="15" customHeight="1" x14ac:dyDescent="0.25">
      <c r="A98" s="5">
        <v>46149</v>
      </c>
      <c r="B98" s="6" t="s">
        <v>30</v>
      </c>
      <c r="C98" s="6" t="s">
        <v>48</v>
      </c>
      <c r="D98" s="6" t="s">
        <v>36</v>
      </c>
      <c r="E98" s="6" t="s">
        <v>37</v>
      </c>
      <c r="F98" s="6">
        <v>11</v>
      </c>
      <c r="G98" s="7">
        <v>1388.34</v>
      </c>
      <c r="H98" s="7">
        <v>717.58</v>
      </c>
      <c r="I98" s="7">
        <v>15271.74</v>
      </c>
      <c r="J98" s="7">
        <v>7893.38</v>
      </c>
      <c r="K98" s="7">
        <v>7378.36</v>
      </c>
      <c r="L98" s="8">
        <f>IF($E98="Maquillaje",$G98,NA())</f>
        <v>1388.34</v>
      </c>
      <c r="M98" s="8">
        <f>IF($E98="Maquillaje",$H98,NA())</f>
        <v>717.58</v>
      </c>
      <c r="N98" t="e">
        <f>IF($E98="Perfumería",$G98,NA())</f>
        <v>#N/A</v>
      </c>
      <c r="O98" t="e">
        <f>IF($E98="Perfumería",$H98,NA())</f>
        <v>#N/A</v>
      </c>
      <c r="P98" t="e">
        <f>IF($E98="Cuidado Facial",$G98,NA())</f>
        <v>#N/A</v>
      </c>
      <c r="Q98" t="e">
        <f>IF($E98="Cuidado Facial",$H98,NA())</f>
        <v>#N/A</v>
      </c>
      <c r="R98" t="e">
        <f>IF($E98="Capilar",$G98,NA())</f>
        <v>#N/A</v>
      </c>
      <c r="S98" t="e">
        <f>IF($E98="Capilar",$H98,NA())</f>
        <v>#N/A</v>
      </c>
      <c r="T98" s="6" t="str">
        <f t="shared" si="1"/>
        <v>Mayo</v>
      </c>
    </row>
    <row r="99" spans="1:20" ht="15" customHeight="1" x14ac:dyDescent="0.25">
      <c r="A99" s="5">
        <v>46186</v>
      </c>
      <c r="B99" s="6" t="s">
        <v>41</v>
      </c>
      <c r="C99" s="6" t="s">
        <v>35</v>
      </c>
      <c r="D99" s="6" t="s">
        <v>39</v>
      </c>
      <c r="E99" s="6" t="s">
        <v>40</v>
      </c>
      <c r="F99" s="6">
        <v>1</v>
      </c>
      <c r="G99" s="7">
        <v>2190.62</v>
      </c>
      <c r="H99" s="7">
        <v>1022.29</v>
      </c>
      <c r="I99" s="7">
        <v>2190.62</v>
      </c>
      <c r="J99" s="7">
        <v>1022.29</v>
      </c>
      <c r="K99" s="7">
        <v>1168.33</v>
      </c>
      <c r="L99" t="e">
        <f>IF($E99="Maquillaje",$G99,NA())</f>
        <v>#N/A</v>
      </c>
      <c r="M99" t="e">
        <f>IF($E99="Maquillaje",$H99,NA())</f>
        <v>#N/A</v>
      </c>
      <c r="N99" t="e">
        <f>IF($E99="Perfumería",$G99,NA())</f>
        <v>#N/A</v>
      </c>
      <c r="O99" t="e">
        <f>IF($E99="Perfumería",$H99,NA())</f>
        <v>#N/A</v>
      </c>
      <c r="P99" s="8">
        <f>IF($E99="Cuidado Facial",$G99,NA())</f>
        <v>2190.62</v>
      </c>
      <c r="Q99" s="8">
        <f>IF($E99="Cuidado Facial",$H99,NA())</f>
        <v>1022.29</v>
      </c>
      <c r="R99" t="e">
        <f>IF($E99="Capilar",$G99,NA())</f>
        <v>#N/A</v>
      </c>
      <c r="S99" t="e">
        <f>IF($E99="Capilar",$H99,NA())</f>
        <v>#N/A</v>
      </c>
      <c r="T99" s="6" t="str">
        <f t="shared" si="1"/>
        <v>Junio</v>
      </c>
    </row>
    <row r="100" spans="1:20" ht="15" customHeight="1" x14ac:dyDescent="0.25">
      <c r="A100" s="5">
        <v>46170</v>
      </c>
      <c r="B100" s="6" t="s">
        <v>30</v>
      </c>
      <c r="C100" s="6" t="s">
        <v>31</v>
      </c>
      <c r="D100" s="6" t="s">
        <v>44</v>
      </c>
      <c r="E100" s="6" t="s">
        <v>37</v>
      </c>
      <c r="F100" s="6">
        <v>9</v>
      </c>
      <c r="G100" s="7">
        <v>1265.53</v>
      </c>
      <c r="H100" s="7">
        <v>630.08000000000004</v>
      </c>
      <c r="I100" s="7">
        <v>11389.77</v>
      </c>
      <c r="J100" s="7">
        <v>5670.72</v>
      </c>
      <c r="K100" s="7">
        <v>5719.05</v>
      </c>
      <c r="L100" s="8">
        <f>IF($E100="Maquillaje",$G100,NA())</f>
        <v>1265.53</v>
      </c>
      <c r="M100" s="8">
        <f>IF($E100="Maquillaje",$H100,NA())</f>
        <v>630.08000000000004</v>
      </c>
      <c r="N100" t="e">
        <f>IF($E100="Perfumería",$G100,NA())</f>
        <v>#N/A</v>
      </c>
      <c r="O100" t="e">
        <f>IF($E100="Perfumería",$H100,NA())</f>
        <v>#N/A</v>
      </c>
      <c r="P100" t="e">
        <f>IF($E100="Cuidado Facial",$G100,NA())</f>
        <v>#N/A</v>
      </c>
      <c r="Q100" t="e">
        <f>IF($E100="Cuidado Facial",$H100,NA())</f>
        <v>#N/A</v>
      </c>
      <c r="R100" t="e">
        <f>IF($E100="Capilar",$G100,NA())</f>
        <v>#N/A</v>
      </c>
      <c r="S100" t="e">
        <f>IF($E100="Capilar",$H100,NA())</f>
        <v>#N/A</v>
      </c>
      <c r="T100" s="6" t="str">
        <f t="shared" si="1"/>
        <v>Mayo</v>
      </c>
    </row>
    <row r="101" spans="1:20" ht="15" customHeight="1" x14ac:dyDescent="0.25">
      <c r="A101" s="5">
        <v>46069</v>
      </c>
      <c r="B101" s="6" t="s">
        <v>41</v>
      </c>
      <c r="C101" s="6" t="s">
        <v>35</v>
      </c>
      <c r="D101" s="6" t="s">
        <v>44</v>
      </c>
      <c r="E101" s="6" t="s">
        <v>37</v>
      </c>
      <c r="F101" s="6">
        <v>4</v>
      </c>
      <c r="G101" s="7">
        <v>1149.2</v>
      </c>
      <c r="H101" s="7">
        <v>682.57</v>
      </c>
      <c r="I101" s="7">
        <v>4596.8</v>
      </c>
      <c r="J101" s="7">
        <v>2730.28</v>
      </c>
      <c r="K101" s="7">
        <v>1866.52</v>
      </c>
      <c r="L101" s="8">
        <f>IF($E101="Maquillaje",$G101,NA())</f>
        <v>1149.2</v>
      </c>
      <c r="M101" s="8">
        <f>IF($E101="Maquillaje",$H101,NA())</f>
        <v>682.57</v>
      </c>
      <c r="N101" t="e">
        <f>IF($E101="Perfumería",$G101,NA())</f>
        <v>#N/A</v>
      </c>
      <c r="O101" t="e">
        <f>IF($E101="Perfumería",$H101,NA())</f>
        <v>#N/A</v>
      </c>
      <c r="P101" t="e">
        <f>IF($E101="Cuidado Facial",$G101,NA())</f>
        <v>#N/A</v>
      </c>
      <c r="Q101" t="e">
        <f>IF($E101="Cuidado Facial",$H101,NA())</f>
        <v>#N/A</v>
      </c>
      <c r="R101" t="e">
        <f>IF($E101="Capilar",$G101,NA())</f>
        <v>#N/A</v>
      </c>
      <c r="S101" t="e">
        <f>IF($E101="Capilar",$H101,NA())</f>
        <v>#N/A</v>
      </c>
      <c r="T101" s="6" t="str">
        <f t="shared" si="1"/>
        <v>Febrero</v>
      </c>
    </row>
    <row r="102" spans="1:20" ht="15" customHeight="1" x14ac:dyDescent="0.25">
      <c r="A102" s="5">
        <v>46378</v>
      </c>
      <c r="B102" s="6" t="s">
        <v>30</v>
      </c>
      <c r="C102" s="6" t="s">
        <v>35</v>
      </c>
      <c r="D102" s="6" t="s">
        <v>39</v>
      </c>
      <c r="E102" s="6" t="s">
        <v>40</v>
      </c>
      <c r="F102" s="6">
        <v>3</v>
      </c>
      <c r="G102" s="7">
        <v>2009.17</v>
      </c>
      <c r="H102" s="7">
        <v>990.09</v>
      </c>
      <c r="I102" s="7">
        <v>6027.51</v>
      </c>
      <c r="J102" s="7">
        <v>2970.27</v>
      </c>
      <c r="K102" s="7">
        <v>3057.24</v>
      </c>
      <c r="L102" t="e">
        <f>IF($E102="Maquillaje",$G102,NA())</f>
        <v>#N/A</v>
      </c>
      <c r="M102" t="e">
        <f>IF($E102="Maquillaje",$H102,NA())</f>
        <v>#N/A</v>
      </c>
      <c r="N102" t="e">
        <f>IF($E102="Perfumería",$G102,NA())</f>
        <v>#N/A</v>
      </c>
      <c r="O102" t="e">
        <f>IF($E102="Perfumería",$H102,NA())</f>
        <v>#N/A</v>
      </c>
      <c r="P102" s="8">
        <f>IF($E102="Cuidado Facial",$G102,NA())</f>
        <v>2009.17</v>
      </c>
      <c r="Q102" s="8">
        <f>IF($E102="Cuidado Facial",$H102,NA())</f>
        <v>990.09</v>
      </c>
      <c r="R102" t="e">
        <f>IF($E102="Capilar",$G102,NA())</f>
        <v>#N/A</v>
      </c>
      <c r="S102" t="e">
        <f>IF($E102="Capilar",$H102,NA())</f>
        <v>#N/A</v>
      </c>
      <c r="T102" s="6" t="str">
        <f t="shared" si="1"/>
        <v>Diciembre</v>
      </c>
    </row>
    <row r="103" spans="1:20" ht="15" customHeight="1" x14ac:dyDescent="0.25">
      <c r="A103" s="5">
        <v>46348</v>
      </c>
      <c r="B103" s="6" t="s">
        <v>41</v>
      </c>
      <c r="C103" s="6" t="s">
        <v>35</v>
      </c>
      <c r="D103" s="6" t="s">
        <v>49</v>
      </c>
      <c r="E103" s="6" t="s">
        <v>40</v>
      </c>
      <c r="F103" s="6">
        <v>7</v>
      </c>
      <c r="G103" s="7">
        <v>1954.26</v>
      </c>
      <c r="H103" s="7">
        <v>970.53</v>
      </c>
      <c r="I103" s="7">
        <v>13679.82</v>
      </c>
      <c r="J103" s="7">
        <v>6793.71</v>
      </c>
      <c r="K103" s="7">
        <v>6886.11</v>
      </c>
      <c r="L103" t="e">
        <f>IF($E103="Maquillaje",$G103,NA())</f>
        <v>#N/A</v>
      </c>
      <c r="M103" t="e">
        <f>IF($E103="Maquillaje",$H103,NA())</f>
        <v>#N/A</v>
      </c>
      <c r="N103" t="e">
        <f>IF($E103="Perfumería",$G103,NA())</f>
        <v>#N/A</v>
      </c>
      <c r="O103" t="e">
        <f>IF($E103="Perfumería",$H103,NA())</f>
        <v>#N/A</v>
      </c>
      <c r="P103" s="8">
        <f>IF($E103="Cuidado Facial",$G103,NA())</f>
        <v>1954.26</v>
      </c>
      <c r="Q103" s="8">
        <f>IF($E103="Cuidado Facial",$H103,NA())</f>
        <v>970.53</v>
      </c>
      <c r="R103" t="e">
        <f>IF($E103="Capilar",$G103,NA())</f>
        <v>#N/A</v>
      </c>
      <c r="S103" t="e">
        <f>IF($E103="Capilar",$H103,NA())</f>
        <v>#N/A</v>
      </c>
      <c r="T103" s="6" t="str">
        <f t="shared" si="1"/>
        <v>Noviembre</v>
      </c>
    </row>
    <row r="104" spans="1:20" ht="15" customHeight="1" x14ac:dyDescent="0.25">
      <c r="A104" s="5">
        <v>46213</v>
      </c>
      <c r="B104" s="6" t="s">
        <v>34</v>
      </c>
      <c r="C104" s="6" t="s">
        <v>35</v>
      </c>
      <c r="D104" s="6" t="s">
        <v>42</v>
      </c>
      <c r="E104" s="6" t="s">
        <v>43</v>
      </c>
      <c r="F104" s="6">
        <v>4</v>
      </c>
      <c r="G104" s="7">
        <v>1034.3399999999999</v>
      </c>
      <c r="H104" s="7">
        <v>444.18</v>
      </c>
      <c r="I104" s="7">
        <v>4137.3599999999997</v>
      </c>
      <c r="J104" s="7">
        <v>1776.72</v>
      </c>
      <c r="K104" s="7">
        <v>2360.64</v>
      </c>
      <c r="L104" t="e">
        <f>IF($E104="Maquillaje",$G104,NA())</f>
        <v>#N/A</v>
      </c>
      <c r="M104" t="e">
        <f>IF($E104="Maquillaje",$H104,NA())</f>
        <v>#N/A</v>
      </c>
      <c r="N104" t="e">
        <f>IF($E104="Perfumería",$G104,NA())</f>
        <v>#N/A</v>
      </c>
      <c r="O104" t="e">
        <f>IF($E104="Perfumería",$H104,NA())</f>
        <v>#N/A</v>
      </c>
      <c r="P104" t="e">
        <f>IF($E104="Cuidado Facial",$G104,NA())</f>
        <v>#N/A</v>
      </c>
      <c r="Q104" t="e">
        <f>IF($E104="Cuidado Facial",$H104,NA())</f>
        <v>#N/A</v>
      </c>
      <c r="R104" s="8">
        <f>IF($E104="Capilar",$G104,NA())</f>
        <v>1034.3399999999999</v>
      </c>
      <c r="S104" s="8">
        <f>IF($E104="Capilar",$H104,NA())</f>
        <v>444.18</v>
      </c>
      <c r="T104" s="6" t="str">
        <f t="shared" si="1"/>
        <v>Julio</v>
      </c>
    </row>
    <row r="105" spans="1:20" ht="15" customHeight="1" x14ac:dyDescent="0.25">
      <c r="A105" s="5">
        <v>46040</v>
      </c>
      <c r="B105" s="6" t="s">
        <v>41</v>
      </c>
      <c r="C105" s="6" t="s">
        <v>35</v>
      </c>
      <c r="D105" s="6" t="s">
        <v>49</v>
      </c>
      <c r="E105" s="6" t="s">
        <v>40</v>
      </c>
      <c r="F105" s="6">
        <v>8</v>
      </c>
      <c r="G105" s="7">
        <v>1777.97</v>
      </c>
      <c r="H105" s="7">
        <v>949.22</v>
      </c>
      <c r="I105" s="7">
        <v>14223.76</v>
      </c>
      <c r="J105" s="7">
        <v>7593.76</v>
      </c>
      <c r="K105" s="7">
        <v>6630</v>
      </c>
      <c r="L105" t="e">
        <f>IF($E105="Maquillaje",$G105,NA())</f>
        <v>#N/A</v>
      </c>
      <c r="M105" t="e">
        <f>IF($E105="Maquillaje",$H105,NA())</f>
        <v>#N/A</v>
      </c>
      <c r="N105" t="e">
        <f>IF($E105="Perfumería",$G105,NA())</f>
        <v>#N/A</v>
      </c>
      <c r="O105" t="e">
        <f>IF($E105="Perfumería",$H105,NA())</f>
        <v>#N/A</v>
      </c>
      <c r="P105" s="8">
        <f>IF($E105="Cuidado Facial",$G105,NA())</f>
        <v>1777.97</v>
      </c>
      <c r="Q105" s="8">
        <f>IF($E105="Cuidado Facial",$H105,NA())</f>
        <v>949.22</v>
      </c>
      <c r="R105" t="e">
        <f>IF($E105="Capilar",$G105,NA())</f>
        <v>#N/A</v>
      </c>
      <c r="S105" t="e">
        <f>IF($E105="Capilar",$H105,NA())</f>
        <v>#N/A</v>
      </c>
      <c r="T105" s="6" t="str">
        <f t="shared" si="1"/>
        <v>Enero</v>
      </c>
    </row>
    <row r="106" spans="1:20" ht="15" customHeight="1" x14ac:dyDescent="0.25">
      <c r="A106" s="5">
        <v>46379</v>
      </c>
      <c r="B106" s="6" t="s">
        <v>30</v>
      </c>
      <c r="C106" s="6" t="s">
        <v>48</v>
      </c>
      <c r="D106" s="6" t="s">
        <v>47</v>
      </c>
      <c r="E106" s="6" t="s">
        <v>33</v>
      </c>
      <c r="F106" s="6">
        <v>3</v>
      </c>
      <c r="G106" s="7">
        <v>3503.85</v>
      </c>
      <c r="H106" s="7">
        <v>1671.41</v>
      </c>
      <c r="I106" s="7">
        <v>10511.55</v>
      </c>
      <c r="J106" s="7">
        <v>5014.2299999999996</v>
      </c>
      <c r="K106" s="7">
        <v>5497.32</v>
      </c>
      <c r="L106" t="e">
        <f>IF($E106="Maquillaje",$G106,NA())</f>
        <v>#N/A</v>
      </c>
      <c r="M106" t="e">
        <f>IF($E106="Maquillaje",$H106,NA())</f>
        <v>#N/A</v>
      </c>
      <c r="N106" s="8">
        <f>IF($E106="Perfumería",$G106,NA())</f>
        <v>3503.85</v>
      </c>
      <c r="O106" s="8">
        <f>IF($E106="Perfumería",$H106,NA())</f>
        <v>1671.41</v>
      </c>
      <c r="P106" t="e">
        <f>IF($E106="Cuidado Facial",$G106,NA())</f>
        <v>#N/A</v>
      </c>
      <c r="Q106" t="e">
        <f>IF($E106="Cuidado Facial",$H106,NA())</f>
        <v>#N/A</v>
      </c>
      <c r="R106" t="e">
        <f>IF($E106="Capilar",$G106,NA())</f>
        <v>#N/A</v>
      </c>
      <c r="S106" t="e">
        <f>IF($E106="Capilar",$H106,NA())</f>
        <v>#N/A</v>
      </c>
      <c r="T106" s="6" t="str">
        <f t="shared" si="1"/>
        <v>Diciembre</v>
      </c>
    </row>
    <row r="107" spans="1:20" ht="15" customHeight="1" x14ac:dyDescent="0.25">
      <c r="A107" s="5">
        <v>46119</v>
      </c>
      <c r="B107" s="6" t="s">
        <v>38</v>
      </c>
      <c r="C107" s="6" t="s">
        <v>31</v>
      </c>
      <c r="D107" s="6" t="s">
        <v>36</v>
      </c>
      <c r="E107" s="6" t="s">
        <v>37</v>
      </c>
      <c r="F107" s="6">
        <v>7</v>
      </c>
      <c r="G107" s="7">
        <v>1348.78</v>
      </c>
      <c r="H107" s="7">
        <v>725.14</v>
      </c>
      <c r="I107" s="7">
        <v>9441.4599999999991</v>
      </c>
      <c r="J107" s="7">
        <v>5075.9799999999996</v>
      </c>
      <c r="K107" s="7">
        <v>4365.4799999999996</v>
      </c>
      <c r="L107" s="8">
        <f>IF($E107="Maquillaje",$G107,NA())</f>
        <v>1348.78</v>
      </c>
      <c r="M107" s="8">
        <f>IF($E107="Maquillaje",$H107,NA())</f>
        <v>725.14</v>
      </c>
      <c r="N107" t="e">
        <f>IF($E107="Perfumería",$G107,NA())</f>
        <v>#N/A</v>
      </c>
      <c r="O107" t="e">
        <f>IF($E107="Perfumería",$H107,NA())</f>
        <v>#N/A</v>
      </c>
      <c r="P107" t="e">
        <f>IF($E107="Cuidado Facial",$G107,NA())</f>
        <v>#N/A</v>
      </c>
      <c r="Q107" t="e">
        <f>IF($E107="Cuidado Facial",$H107,NA())</f>
        <v>#N/A</v>
      </c>
      <c r="R107" t="e">
        <f>IF($E107="Capilar",$G107,NA())</f>
        <v>#N/A</v>
      </c>
      <c r="S107" t="e">
        <f>IF($E107="Capilar",$H107,NA())</f>
        <v>#N/A</v>
      </c>
      <c r="T107" s="6" t="str">
        <f t="shared" si="1"/>
        <v>Abril</v>
      </c>
    </row>
    <row r="108" spans="1:20" ht="15" customHeight="1" x14ac:dyDescent="0.25">
      <c r="A108" s="5">
        <v>46078</v>
      </c>
      <c r="B108" s="6" t="s">
        <v>30</v>
      </c>
      <c r="C108" s="6" t="s">
        <v>48</v>
      </c>
      <c r="D108" s="6" t="s">
        <v>42</v>
      </c>
      <c r="E108" s="6" t="s">
        <v>43</v>
      </c>
      <c r="F108" s="6">
        <v>1</v>
      </c>
      <c r="G108" s="7">
        <v>857.4</v>
      </c>
      <c r="H108" s="7">
        <v>514.02</v>
      </c>
      <c r="I108" s="7">
        <v>857.4</v>
      </c>
      <c r="J108" s="7">
        <v>514.02</v>
      </c>
      <c r="K108" s="7">
        <v>343.38</v>
      </c>
      <c r="L108" t="e">
        <f>IF($E108="Maquillaje",$G108,NA())</f>
        <v>#N/A</v>
      </c>
      <c r="M108" t="e">
        <f>IF($E108="Maquillaje",$H108,NA())</f>
        <v>#N/A</v>
      </c>
      <c r="N108" t="e">
        <f>IF($E108="Perfumería",$G108,NA())</f>
        <v>#N/A</v>
      </c>
      <c r="O108" t="e">
        <f>IF($E108="Perfumería",$H108,NA())</f>
        <v>#N/A</v>
      </c>
      <c r="P108" t="e">
        <f>IF($E108="Cuidado Facial",$G108,NA())</f>
        <v>#N/A</v>
      </c>
      <c r="Q108" t="e">
        <f>IF($E108="Cuidado Facial",$H108,NA())</f>
        <v>#N/A</v>
      </c>
      <c r="R108" s="8">
        <f>IF($E108="Capilar",$G108,NA())</f>
        <v>857.4</v>
      </c>
      <c r="S108" s="8">
        <f>IF($E108="Capilar",$H108,NA())</f>
        <v>514.02</v>
      </c>
      <c r="T108" s="6" t="str">
        <f t="shared" si="1"/>
        <v>Febrero</v>
      </c>
    </row>
    <row r="109" spans="1:20" ht="15" customHeight="1" x14ac:dyDescent="0.25">
      <c r="A109" s="5">
        <v>46174</v>
      </c>
      <c r="B109" s="6" t="s">
        <v>30</v>
      </c>
      <c r="C109" s="6" t="s">
        <v>48</v>
      </c>
      <c r="D109" s="6" t="s">
        <v>44</v>
      </c>
      <c r="E109" s="6" t="s">
        <v>37</v>
      </c>
      <c r="F109" s="6">
        <v>4</v>
      </c>
      <c r="G109" s="7">
        <v>1297.92</v>
      </c>
      <c r="H109" s="7">
        <v>640.9</v>
      </c>
      <c r="I109" s="7">
        <v>5191.68</v>
      </c>
      <c r="J109" s="7">
        <v>2563.6</v>
      </c>
      <c r="K109" s="7">
        <v>2628.08</v>
      </c>
      <c r="L109" s="8">
        <f>IF($E109="Maquillaje",$G109,NA())</f>
        <v>1297.92</v>
      </c>
      <c r="M109" s="8">
        <f>IF($E109="Maquillaje",$H109,NA())</f>
        <v>640.9</v>
      </c>
      <c r="N109" t="e">
        <f>IF($E109="Perfumería",$G109,NA())</f>
        <v>#N/A</v>
      </c>
      <c r="O109" t="e">
        <f>IF($E109="Perfumería",$H109,NA())</f>
        <v>#N/A</v>
      </c>
      <c r="P109" t="e">
        <f>IF($E109="Cuidado Facial",$G109,NA())</f>
        <v>#N/A</v>
      </c>
      <c r="Q109" t="e">
        <f>IF($E109="Cuidado Facial",$H109,NA())</f>
        <v>#N/A</v>
      </c>
      <c r="R109" t="e">
        <f>IF($E109="Capilar",$G109,NA())</f>
        <v>#N/A</v>
      </c>
      <c r="S109" t="e">
        <f>IF($E109="Capilar",$H109,NA())</f>
        <v>#N/A</v>
      </c>
      <c r="T109" s="6" t="str">
        <f t="shared" si="1"/>
        <v>Junio</v>
      </c>
    </row>
    <row r="110" spans="1:20" ht="15" customHeight="1" x14ac:dyDescent="0.25">
      <c r="A110" s="5">
        <v>46140</v>
      </c>
      <c r="B110" s="6" t="s">
        <v>38</v>
      </c>
      <c r="C110" s="6" t="s">
        <v>31</v>
      </c>
      <c r="D110" s="6" t="s">
        <v>36</v>
      </c>
      <c r="E110" s="6" t="s">
        <v>37</v>
      </c>
      <c r="F110" s="6">
        <v>7</v>
      </c>
      <c r="G110" s="7">
        <v>1395.77</v>
      </c>
      <c r="H110" s="7">
        <v>800.01</v>
      </c>
      <c r="I110" s="7">
        <v>9770.39</v>
      </c>
      <c r="J110" s="7">
        <v>5600.07</v>
      </c>
      <c r="K110" s="7">
        <v>4170.32</v>
      </c>
      <c r="L110" s="8">
        <f>IF($E110="Maquillaje",$G110,NA())</f>
        <v>1395.77</v>
      </c>
      <c r="M110" s="8">
        <f>IF($E110="Maquillaje",$H110,NA())</f>
        <v>800.01</v>
      </c>
      <c r="N110" t="e">
        <f>IF($E110="Perfumería",$G110,NA())</f>
        <v>#N/A</v>
      </c>
      <c r="O110" t="e">
        <f>IF($E110="Perfumería",$H110,NA())</f>
        <v>#N/A</v>
      </c>
      <c r="P110" t="e">
        <f>IF($E110="Cuidado Facial",$G110,NA())</f>
        <v>#N/A</v>
      </c>
      <c r="Q110" t="e">
        <f>IF($E110="Cuidado Facial",$H110,NA())</f>
        <v>#N/A</v>
      </c>
      <c r="R110" t="e">
        <f>IF($E110="Capilar",$G110,NA())</f>
        <v>#N/A</v>
      </c>
      <c r="S110" t="e">
        <f>IF($E110="Capilar",$H110,NA())</f>
        <v>#N/A</v>
      </c>
      <c r="T110" s="6" t="str">
        <f t="shared" si="1"/>
        <v>Abril</v>
      </c>
    </row>
    <row r="111" spans="1:20" ht="15" customHeight="1" x14ac:dyDescent="0.25">
      <c r="A111" s="5">
        <v>46387</v>
      </c>
      <c r="B111" s="6" t="s">
        <v>41</v>
      </c>
      <c r="C111" s="6" t="s">
        <v>35</v>
      </c>
      <c r="D111" s="6" t="s">
        <v>45</v>
      </c>
      <c r="E111" s="6" t="s">
        <v>43</v>
      </c>
      <c r="F111" s="6">
        <v>10</v>
      </c>
      <c r="G111" s="7">
        <v>1178.8800000000001</v>
      </c>
      <c r="H111" s="7">
        <v>562.04</v>
      </c>
      <c r="I111" s="7">
        <v>11788.8</v>
      </c>
      <c r="J111" s="7">
        <v>5620.4</v>
      </c>
      <c r="K111" s="7">
        <v>6168.4</v>
      </c>
      <c r="L111" t="e">
        <f>IF($E111="Maquillaje",$G111,NA())</f>
        <v>#N/A</v>
      </c>
      <c r="M111" t="e">
        <f>IF($E111="Maquillaje",$H111,NA())</f>
        <v>#N/A</v>
      </c>
      <c r="N111" t="e">
        <f>IF($E111="Perfumería",$G111,NA())</f>
        <v>#N/A</v>
      </c>
      <c r="O111" t="e">
        <f>IF($E111="Perfumería",$H111,NA())</f>
        <v>#N/A</v>
      </c>
      <c r="P111" t="e">
        <f>IF($E111="Cuidado Facial",$G111,NA())</f>
        <v>#N/A</v>
      </c>
      <c r="Q111" t="e">
        <f>IF($E111="Cuidado Facial",$H111,NA())</f>
        <v>#N/A</v>
      </c>
      <c r="R111" s="8">
        <f>IF($E111="Capilar",$G111,NA())</f>
        <v>1178.8800000000001</v>
      </c>
      <c r="S111" s="8">
        <f>IF($E111="Capilar",$H111,NA())</f>
        <v>562.04</v>
      </c>
      <c r="T111" s="6" t="str">
        <f t="shared" si="1"/>
        <v>Diciembre</v>
      </c>
    </row>
    <row r="112" spans="1:20" ht="15" customHeight="1" x14ac:dyDescent="0.25">
      <c r="A112" s="5">
        <v>46190</v>
      </c>
      <c r="B112" s="6" t="s">
        <v>34</v>
      </c>
      <c r="C112" s="6" t="s">
        <v>35</v>
      </c>
      <c r="D112" s="6" t="s">
        <v>44</v>
      </c>
      <c r="E112" s="6" t="s">
        <v>37</v>
      </c>
      <c r="F112" s="6">
        <v>9</v>
      </c>
      <c r="G112" s="7">
        <v>1132.29</v>
      </c>
      <c r="H112" s="7">
        <v>678.11</v>
      </c>
      <c r="I112" s="7">
        <v>10190.61</v>
      </c>
      <c r="J112" s="7">
        <v>6102.99</v>
      </c>
      <c r="K112" s="7">
        <v>4087.62</v>
      </c>
      <c r="L112" s="8">
        <f>IF($E112="Maquillaje",$G112,NA())</f>
        <v>1132.29</v>
      </c>
      <c r="M112" s="8">
        <f>IF($E112="Maquillaje",$H112,NA())</f>
        <v>678.11</v>
      </c>
      <c r="N112" t="e">
        <f>IF($E112="Perfumería",$G112,NA())</f>
        <v>#N/A</v>
      </c>
      <c r="O112" t="e">
        <f>IF($E112="Perfumería",$H112,NA())</f>
        <v>#N/A</v>
      </c>
      <c r="P112" t="e">
        <f>IF($E112="Cuidado Facial",$G112,NA())</f>
        <v>#N/A</v>
      </c>
      <c r="Q112" t="e">
        <f>IF($E112="Cuidado Facial",$H112,NA())</f>
        <v>#N/A</v>
      </c>
      <c r="R112" t="e">
        <f>IF($E112="Capilar",$G112,NA())</f>
        <v>#N/A</v>
      </c>
      <c r="S112" t="e">
        <f>IF($E112="Capilar",$H112,NA())</f>
        <v>#N/A</v>
      </c>
      <c r="T112" s="6" t="str">
        <f t="shared" si="1"/>
        <v>Junio</v>
      </c>
    </row>
    <row r="113" spans="1:20" ht="15" customHeight="1" x14ac:dyDescent="0.25">
      <c r="A113" s="5">
        <v>46317</v>
      </c>
      <c r="B113" s="6" t="s">
        <v>30</v>
      </c>
      <c r="C113" s="6" t="s">
        <v>31</v>
      </c>
      <c r="D113" s="6" t="s">
        <v>44</v>
      </c>
      <c r="E113" s="6" t="s">
        <v>37</v>
      </c>
      <c r="F113" s="6">
        <v>13</v>
      </c>
      <c r="G113" s="7">
        <v>1278.96</v>
      </c>
      <c r="H113" s="7">
        <v>652.82000000000005</v>
      </c>
      <c r="I113" s="7">
        <v>16626.48</v>
      </c>
      <c r="J113" s="7">
        <v>8486.66</v>
      </c>
      <c r="K113" s="7">
        <v>8139.82</v>
      </c>
      <c r="L113" s="8">
        <f>IF($E113="Maquillaje",$G113,NA())</f>
        <v>1278.96</v>
      </c>
      <c r="M113" s="8">
        <f>IF($E113="Maquillaje",$H113,NA())</f>
        <v>652.82000000000005</v>
      </c>
      <c r="N113" t="e">
        <f>IF($E113="Perfumería",$G113,NA())</f>
        <v>#N/A</v>
      </c>
      <c r="O113" t="e">
        <f>IF($E113="Perfumería",$H113,NA())</f>
        <v>#N/A</v>
      </c>
      <c r="P113" t="e">
        <f>IF($E113="Cuidado Facial",$G113,NA())</f>
        <v>#N/A</v>
      </c>
      <c r="Q113" t="e">
        <f>IF($E113="Cuidado Facial",$H113,NA())</f>
        <v>#N/A</v>
      </c>
      <c r="R113" t="e">
        <f>IF($E113="Capilar",$G113,NA())</f>
        <v>#N/A</v>
      </c>
      <c r="S113" t="e">
        <f>IF($E113="Capilar",$H113,NA())</f>
        <v>#N/A</v>
      </c>
      <c r="T113" s="6" t="str">
        <f t="shared" si="1"/>
        <v>Octubre</v>
      </c>
    </row>
    <row r="114" spans="1:20" ht="15" customHeight="1" x14ac:dyDescent="0.25">
      <c r="A114" s="5">
        <v>46373</v>
      </c>
      <c r="B114" s="6" t="s">
        <v>46</v>
      </c>
      <c r="C114" s="6" t="s">
        <v>31</v>
      </c>
      <c r="D114" s="6" t="s">
        <v>44</v>
      </c>
      <c r="E114" s="6" t="s">
        <v>37</v>
      </c>
      <c r="F114" s="6">
        <v>5</v>
      </c>
      <c r="G114" s="7">
        <v>1171.6400000000001</v>
      </c>
      <c r="H114" s="7">
        <v>593</v>
      </c>
      <c r="I114" s="7">
        <v>5858.2</v>
      </c>
      <c r="J114" s="7">
        <v>2965</v>
      </c>
      <c r="K114" s="7">
        <v>2893.2</v>
      </c>
      <c r="L114" s="8">
        <f>IF($E114="Maquillaje",$G114,NA())</f>
        <v>1171.6400000000001</v>
      </c>
      <c r="M114" s="8">
        <f>IF($E114="Maquillaje",$H114,NA())</f>
        <v>593</v>
      </c>
      <c r="N114" t="e">
        <f>IF($E114="Perfumería",$G114,NA())</f>
        <v>#N/A</v>
      </c>
      <c r="O114" t="e">
        <f>IF($E114="Perfumería",$H114,NA())</f>
        <v>#N/A</v>
      </c>
      <c r="P114" t="e">
        <f>IF($E114="Cuidado Facial",$G114,NA())</f>
        <v>#N/A</v>
      </c>
      <c r="Q114" t="e">
        <f>IF($E114="Cuidado Facial",$H114,NA())</f>
        <v>#N/A</v>
      </c>
      <c r="R114" t="e">
        <f>IF($E114="Capilar",$G114,NA())</f>
        <v>#N/A</v>
      </c>
      <c r="S114" t="e">
        <f>IF($E114="Capilar",$H114,NA())</f>
        <v>#N/A</v>
      </c>
      <c r="T114" s="6" t="str">
        <f t="shared" si="1"/>
        <v>Diciembre</v>
      </c>
    </row>
    <row r="115" spans="1:20" ht="15" customHeight="1" x14ac:dyDescent="0.25">
      <c r="A115" s="5">
        <v>46368</v>
      </c>
      <c r="B115" s="6" t="s">
        <v>34</v>
      </c>
      <c r="C115" s="6" t="s">
        <v>35</v>
      </c>
      <c r="D115" s="6" t="s">
        <v>39</v>
      </c>
      <c r="E115" s="6" t="s">
        <v>40</v>
      </c>
      <c r="F115" s="6">
        <v>7</v>
      </c>
      <c r="G115" s="7">
        <v>2284.77</v>
      </c>
      <c r="H115" s="7">
        <v>1055.69</v>
      </c>
      <c r="I115" s="7">
        <v>15993.39</v>
      </c>
      <c r="J115" s="7">
        <v>7389.83</v>
      </c>
      <c r="K115" s="7">
        <v>8603.56</v>
      </c>
      <c r="L115" t="e">
        <f>IF($E115="Maquillaje",$G115,NA())</f>
        <v>#N/A</v>
      </c>
      <c r="M115" t="e">
        <f>IF($E115="Maquillaje",$H115,NA())</f>
        <v>#N/A</v>
      </c>
      <c r="N115" t="e">
        <f>IF($E115="Perfumería",$G115,NA())</f>
        <v>#N/A</v>
      </c>
      <c r="O115" t="e">
        <f>IF($E115="Perfumería",$H115,NA())</f>
        <v>#N/A</v>
      </c>
      <c r="P115" s="8">
        <f>IF($E115="Cuidado Facial",$G115,NA())</f>
        <v>2284.77</v>
      </c>
      <c r="Q115" s="8">
        <f>IF($E115="Cuidado Facial",$H115,NA())</f>
        <v>1055.69</v>
      </c>
      <c r="R115" t="e">
        <f>IF($E115="Capilar",$G115,NA())</f>
        <v>#N/A</v>
      </c>
      <c r="S115" t="e">
        <f>IF($E115="Capilar",$H115,NA())</f>
        <v>#N/A</v>
      </c>
      <c r="T115" s="6" t="str">
        <f t="shared" si="1"/>
        <v>Diciembre</v>
      </c>
    </row>
    <row r="116" spans="1:20" ht="15" customHeight="1" x14ac:dyDescent="0.25">
      <c r="A116" s="5">
        <v>46131</v>
      </c>
      <c r="B116" s="6" t="s">
        <v>30</v>
      </c>
      <c r="C116" s="6" t="s">
        <v>31</v>
      </c>
      <c r="D116" s="6" t="s">
        <v>45</v>
      </c>
      <c r="E116" s="6" t="s">
        <v>43</v>
      </c>
      <c r="F116" s="6">
        <v>9</v>
      </c>
      <c r="G116" s="7">
        <v>1148.56</v>
      </c>
      <c r="H116" s="7">
        <v>595.24</v>
      </c>
      <c r="I116" s="7">
        <v>10337.040000000001</v>
      </c>
      <c r="J116" s="7">
        <v>5357.16</v>
      </c>
      <c r="K116" s="7">
        <v>4979.88</v>
      </c>
      <c r="L116" t="e">
        <f>IF($E116="Maquillaje",$G116,NA())</f>
        <v>#N/A</v>
      </c>
      <c r="M116" t="e">
        <f>IF($E116="Maquillaje",$H116,NA())</f>
        <v>#N/A</v>
      </c>
      <c r="N116" t="e">
        <f>IF($E116="Perfumería",$G116,NA())</f>
        <v>#N/A</v>
      </c>
      <c r="O116" t="e">
        <f>IF($E116="Perfumería",$H116,NA())</f>
        <v>#N/A</v>
      </c>
      <c r="P116" t="e">
        <f>IF($E116="Cuidado Facial",$G116,NA())</f>
        <v>#N/A</v>
      </c>
      <c r="Q116" t="e">
        <f>IF($E116="Cuidado Facial",$H116,NA())</f>
        <v>#N/A</v>
      </c>
      <c r="R116" s="8">
        <f>IF($E116="Capilar",$G116,NA())</f>
        <v>1148.56</v>
      </c>
      <c r="S116" s="8">
        <f>IF($E116="Capilar",$H116,NA())</f>
        <v>595.24</v>
      </c>
      <c r="T116" s="6" t="str">
        <f t="shared" si="1"/>
        <v>Abril</v>
      </c>
    </row>
    <row r="117" spans="1:20" ht="15" customHeight="1" x14ac:dyDescent="0.25">
      <c r="A117" s="5">
        <v>46234</v>
      </c>
      <c r="B117" s="6" t="s">
        <v>41</v>
      </c>
      <c r="C117" s="6" t="s">
        <v>35</v>
      </c>
      <c r="D117" s="6" t="s">
        <v>49</v>
      </c>
      <c r="E117" s="6" t="s">
        <v>40</v>
      </c>
      <c r="F117" s="6">
        <v>5</v>
      </c>
      <c r="G117" s="7">
        <v>1873.51</v>
      </c>
      <c r="H117" s="7">
        <v>933.74</v>
      </c>
      <c r="I117" s="7">
        <v>9367.5499999999993</v>
      </c>
      <c r="J117" s="7">
        <v>4668.7</v>
      </c>
      <c r="K117" s="7">
        <v>4698.8500000000004</v>
      </c>
      <c r="L117" t="e">
        <f>IF($E117="Maquillaje",$G117,NA())</f>
        <v>#N/A</v>
      </c>
      <c r="M117" t="e">
        <f>IF($E117="Maquillaje",$H117,NA())</f>
        <v>#N/A</v>
      </c>
      <c r="N117" t="e">
        <f>IF($E117="Perfumería",$G117,NA())</f>
        <v>#N/A</v>
      </c>
      <c r="O117" t="e">
        <f>IF($E117="Perfumería",$H117,NA())</f>
        <v>#N/A</v>
      </c>
      <c r="P117" s="8">
        <f>IF($E117="Cuidado Facial",$G117,NA())</f>
        <v>1873.51</v>
      </c>
      <c r="Q117" s="8">
        <f>IF($E117="Cuidado Facial",$H117,NA())</f>
        <v>933.74</v>
      </c>
      <c r="R117" t="e">
        <f>IF($E117="Capilar",$G117,NA())</f>
        <v>#N/A</v>
      </c>
      <c r="S117" t="e">
        <f>IF($E117="Capilar",$H117,NA())</f>
        <v>#N/A</v>
      </c>
      <c r="T117" s="6" t="str">
        <f t="shared" si="1"/>
        <v>Julio</v>
      </c>
    </row>
    <row r="118" spans="1:20" ht="15" customHeight="1" x14ac:dyDescent="0.25">
      <c r="A118" s="5">
        <v>46166</v>
      </c>
      <c r="B118" s="6" t="s">
        <v>46</v>
      </c>
      <c r="C118" s="6" t="s">
        <v>31</v>
      </c>
      <c r="D118" s="6" t="s">
        <v>45</v>
      </c>
      <c r="E118" s="6" t="s">
        <v>43</v>
      </c>
      <c r="F118" s="6">
        <v>7</v>
      </c>
      <c r="G118" s="7">
        <v>1127.1400000000001</v>
      </c>
      <c r="H118" s="7">
        <v>513.57000000000005</v>
      </c>
      <c r="I118" s="7">
        <v>7889.98</v>
      </c>
      <c r="J118" s="7">
        <v>3594.99</v>
      </c>
      <c r="K118" s="7">
        <v>4294.99</v>
      </c>
      <c r="L118" t="e">
        <f>IF($E118="Maquillaje",$G118,NA())</f>
        <v>#N/A</v>
      </c>
      <c r="M118" t="e">
        <f>IF($E118="Maquillaje",$H118,NA())</f>
        <v>#N/A</v>
      </c>
      <c r="N118" t="e">
        <f>IF($E118="Perfumería",$G118,NA())</f>
        <v>#N/A</v>
      </c>
      <c r="O118" t="e">
        <f>IF($E118="Perfumería",$H118,NA())</f>
        <v>#N/A</v>
      </c>
      <c r="P118" t="e">
        <f>IF($E118="Cuidado Facial",$G118,NA())</f>
        <v>#N/A</v>
      </c>
      <c r="Q118" t="e">
        <f>IF($E118="Cuidado Facial",$H118,NA())</f>
        <v>#N/A</v>
      </c>
      <c r="R118" s="8">
        <f>IF($E118="Capilar",$G118,NA())</f>
        <v>1127.1400000000001</v>
      </c>
      <c r="S118" s="8">
        <f>IF($E118="Capilar",$H118,NA())</f>
        <v>513.57000000000005</v>
      </c>
      <c r="T118" s="6" t="str">
        <f t="shared" si="1"/>
        <v>Mayo</v>
      </c>
    </row>
    <row r="119" spans="1:20" ht="15" customHeight="1" x14ac:dyDescent="0.25">
      <c r="A119" s="5">
        <v>46220</v>
      </c>
      <c r="B119" s="6" t="s">
        <v>38</v>
      </c>
      <c r="C119" s="6" t="s">
        <v>31</v>
      </c>
      <c r="D119" s="6" t="s">
        <v>49</v>
      </c>
      <c r="E119" s="6" t="s">
        <v>40</v>
      </c>
      <c r="F119" s="6">
        <v>10</v>
      </c>
      <c r="G119" s="7">
        <v>1625.39</v>
      </c>
      <c r="H119" s="7">
        <v>812.07</v>
      </c>
      <c r="I119" s="7">
        <v>16253.9</v>
      </c>
      <c r="J119" s="7">
        <v>8120.7</v>
      </c>
      <c r="K119" s="7">
        <v>8133.2</v>
      </c>
      <c r="L119" t="e">
        <f>IF($E119="Maquillaje",$G119,NA())</f>
        <v>#N/A</v>
      </c>
      <c r="M119" t="e">
        <f>IF($E119="Maquillaje",$H119,NA())</f>
        <v>#N/A</v>
      </c>
      <c r="N119" t="e">
        <f>IF($E119="Perfumería",$G119,NA())</f>
        <v>#N/A</v>
      </c>
      <c r="O119" t="e">
        <f>IF($E119="Perfumería",$H119,NA())</f>
        <v>#N/A</v>
      </c>
      <c r="P119" s="8">
        <f>IF($E119="Cuidado Facial",$G119,NA())</f>
        <v>1625.39</v>
      </c>
      <c r="Q119" s="8">
        <f>IF($E119="Cuidado Facial",$H119,NA())</f>
        <v>812.07</v>
      </c>
      <c r="R119" t="e">
        <f>IF($E119="Capilar",$G119,NA())</f>
        <v>#N/A</v>
      </c>
      <c r="S119" t="e">
        <f>IF($E119="Capilar",$H119,NA())</f>
        <v>#N/A</v>
      </c>
      <c r="T119" s="6" t="str">
        <f t="shared" si="1"/>
        <v>Julio</v>
      </c>
    </row>
    <row r="120" spans="1:20" ht="15" customHeight="1" x14ac:dyDescent="0.25">
      <c r="A120" s="5">
        <v>46074</v>
      </c>
      <c r="B120" s="6" t="s">
        <v>30</v>
      </c>
      <c r="C120" s="6" t="s">
        <v>48</v>
      </c>
      <c r="D120" s="6" t="s">
        <v>49</v>
      </c>
      <c r="E120" s="6" t="s">
        <v>40</v>
      </c>
      <c r="F120" s="6">
        <v>4</v>
      </c>
      <c r="G120" s="7">
        <v>1945.47</v>
      </c>
      <c r="H120" s="7">
        <v>952.5</v>
      </c>
      <c r="I120" s="7">
        <v>7781.88</v>
      </c>
      <c r="J120" s="7">
        <v>3810</v>
      </c>
      <c r="K120" s="7">
        <v>3971.88</v>
      </c>
      <c r="L120" t="e">
        <f>IF($E120="Maquillaje",$G120,NA())</f>
        <v>#N/A</v>
      </c>
      <c r="M120" t="e">
        <f>IF($E120="Maquillaje",$H120,NA())</f>
        <v>#N/A</v>
      </c>
      <c r="N120" t="e">
        <f>IF($E120="Perfumería",$G120,NA())</f>
        <v>#N/A</v>
      </c>
      <c r="O120" t="e">
        <f>IF($E120="Perfumería",$H120,NA())</f>
        <v>#N/A</v>
      </c>
      <c r="P120" s="8">
        <f>IF($E120="Cuidado Facial",$G120,NA())</f>
        <v>1945.47</v>
      </c>
      <c r="Q120" s="8">
        <f>IF($E120="Cuidado Facial",$H120,NA())</f>
        <v>952.5</v>
      </c>
      <c r="R120" t="e">
        <f>IF($E120="Capilar",$G120,NA())</f>
        <v>#N/A</v>
      </c>
      <c r="S120" t="e">
        <f>IF($E120="Capilar",$H120,NA())</f>
        <v>#N/A</v>
      </c>
      <c r="T120" s="6" t="str">
        <f t="shared" si="1"/>
        <v>Febrero</v>
      </c>
    </row>
    <row r="121" spans="1:20" ht="15" customHeight="1" x14ac:dyDescent="0.25">
      <c r="A121" s="5">
        <v>46069</v>
      </c>
      <c r="B121" s="6" t="s">
        <v>38</v>
      </c>
      <c r="C121" s="6" t="s">
        <v>31</v>
      </c>
      <c r="D121" s="6" t="s">
        <v>45</v>
      </c>
      <c r="E121" s="6" t="s">
        <v>43</v>
      </c>
      <c r="F121" s="6">
        <v>4</v>
      </c>
      <c r="G121" s="7">
        <v>1106.78</v>
      </c>
      <c r="H121" s="7">
        <v>587.09</v>
      </c>
      <c r="I121" s="7">
        <v>4427.12</v>
      </c>
      <c r="J121" s="7">
        <v>2348.36</v>
      </c>
      <c r="K121" s="7">
        <v>2078.7600000000002</v>
      </c>
      <c r="L121" t="e">
        <f>IF($E121="Maquillaje",$G121,NA())</f>
        <v>#N/A</v>
      </c>
      <c r="M121" t="e">
        <f>IF($E121="Maquillaje",$H121,NA())</f>
        <v>#N/A</v>
      </c>
      <c r="N121" t="e">
        <f>IF($E121="Perfumería",$G121,NA())</f>
        <v>#N/A</v>
      </c>
      <c r="O121" t="e">
        <f>IF($E121="Perfumería",$H121,NA())</f>
        <v>#N/A</v>
      </c>
      <c r="P121" t="e">
        <f>IF($E121="Cuidado Facial",$G121,NA())</f>
        <v>#N/A</v>
      </c>
      <c r="Q121" t="e">
        <f>IF($E121="Cuidado Facial",$H121,NA())</f>
        <v>#N/A</v>
      </c>
      <c r="R121" s="8">
        <f>IF($E121="Capilar",$G121,NA())</f>
        <v>1106.78</v>
      </c>
      <c r="S121" s="8">
        <f>IF($E121="Capilar",$H121,NA())</f>
        <v>587.09</v>
      </c>
      <c r="T121" s="6" t="str">
        <f t="shared" si="1"/>
        <v>Febrero</v>
      </c>
    </row>
    <row r="122" spans="1:20" ht="15" customHeight="1" x14ac:dyDescent="0.25">
      <c r="A122" s="5">
        <v>46158</v>
      </c>
      <c r="B122" s="6" t="s">
        <v>30</v>
      </c>
      <c r="C122" s="6" t="s">
        <v>35</v>
      </c>
      <c r="D122" s="6" t="s">
        <v>44</v>
      </c>
      <c r="E122" s="6" t="s">
        <v>37</v>
      </c>
      <c r="F122" s="6">
        <v>8</v>
      </c>
      <c r="G122" s="7">
        <v>1297.31</v>
      </c>
      <c r="H122" s="7">
        <v>676.05</v>
      </c>
      <c r="I122" s="7">
        <v>10378.48</v>
      </c>
      <c r="J122" s="7">
        <v>5408.4</v>
      </c>
      <c r="K122" s="7">
        <v>4970.08</v>
      </c>
      <c r="L122" s="8">
        <f>IF($E122="Maquillaje",$G122,NA())</f>
        <v>1297.31</v>
      </c>
      <c r="M122" s="8">
        <f>IF($E122="Maquillaje",$H122,NA())</f>
        <v>676.05</v>
      </c>
      <c r="N122" t="e">
        <f>IF($E122="Perfumería",$G122,NA())</f>
        <v>#N/A</v>
      </c>
      <c r="O122" t="e">
        <f>IF($E122="Perfumería",$H122,NA())</f>
        <v>#N/A</v>
      </c>
      <c r="P122" t="e">
        <f>IF($E122="Cuidado Facial",$G122,NA())</f>
        <v>#N/A</v>
      </c>
      <c r="Q122" t="e">
        <f>IF($E122="Cuidado Facial",$H122,NA())</f>
        <v>#N/A</v>
      </c>
      <c r="R122" t="e">
        <f>IF($E122="Capilar",$G122,NA())</f>
        <v>#N/A</v>
      </c>
      <c r="S122" t="e">
        <f>IF($E122="Capilar",$H122,NA())</f>
        <v>#N/A</v>
      </c>
      <c r="T122" s="6" t="str">
        <f t="shared" si="1"/>
        <v>Mayo</v>
      </c>
    </row>
    <row r="123" spans="1:20" ht="15" customHeight="1" x14ac:dyDescent="0.25">
      <c r="A123" s="5">
        <v>46026</v>
      </c>
      <c r="B123" s="6" t="s">
        <v>41</v>
      </c>
      <c r="C123" s="6" t="s">
        <v>35</v>
      </c>
      <c r="D123" s="6" t="s">
        <v>39</v>
      </c>
      <c r="E123" s="6" t="s">
        <v>40</v>
      </c>
      <c r="F123" s="6">
        <v>6</v>
      </c>
      <c r="G123" s="7">
        <v>2068.84</v>
      </c>
      <c r="H123" s="7">
        <v>1154.99</v>
      </c>
      <c r="I123" s="7">
        <v>12413.04</v>
      </c>
      <c r="J123" s="7">
        <v>6929.94</v>
      </c>
      <c r="K123" s="7">
        <v>5483.1</v>
      </c>
      <c r="L123" t="e">
        <f>IF($E123="Maquillaje",$G123,NA())</f>
        <v>#N/A</v>
      </c>
      <c r="M123" t="e">
        <f>IF($E123="Maquillaje",$H123,NA())</f>
        <v>#N/A</v>
      </c>
      <c r="N123" t="e">
        <f>IF($E123="Perfumería",$G123,NA())</f>
        <v>#N/A</v>
      </c>
      <c r="O123" t="e">
        <f>IF($E123="Perfumería",$H123,NA())</f>
        <v>#N/A</v>
      </c>
      <c r="P123" s="8">
        <f>IF($E123="Cuidado Facial",$G123,NA())</f>
        <v>2068.84</v>
      </c>
      <c r="Q123" s="8">
        <f>IF($E123="Cuidado Facial",$H123,NA())</f>
        <v>1154.99</v>
      </c>
      <c r="R123" t="e">
        <f>IF($E123="Capilar",$G123,NA())</f>
        <v>#N/A</v>
      </c>
      <c r="S123" t="e">
        <f>IF($E123="Capilar",$H123,NA())</f>
        <v>#N/A</v>
      </c>
      <c r="T123" s="6" t="str">
        <f t="shared" si="1"/>
        <v>Enero</v>
      </c>
    </row>
    <row r="124" spans="1:20" ht="15" customHeight="1" x14ac:dyDescent="0.25">
      <c r="A124" s="5">
        <v>46196</v>
      </c>
      <c r="B124" s="6" t="s">
        <v>46</v>
      </c>
      <c r="C124" s="6" t="s">
        <v>31</v>
      </c>
      <c r="D124" s="6" t="s">
        <v>45</v>
      </c>
      <c r="E124" s="6" t="s">
        <v>43</v>
      </c>
      <c r="F124" s="6">
        <v>9</v>
      </c>
      <c r="G124" s="7">
        <v>1159.53</v>
      </c>
      <c r="H124" s="7">
        <v>527.6</v>
      </c>
      <c r="I124" s="7">
        <v>10435.77</v>
      </c>
      <c r="J124" s="7">
        <v>4748.3999999999996</v>
      </c>
      <c r="K124" s="7">
        <v>5687.37</v>
      </c>
      <c r="L124" t="e">
        <f>IF($E124="Maquillaje",$G124,NA())</f>
        <v>#N/A</v>
      </c>
      <c r="M124" t="e">
        <f>IF($E124="Maquillaje",$H124,NA())</f>
        <v>#N/A</v>
      </c>
      <c r="N124" t="e">
        <f>IF($E124="Perfumería",$G124,NA())</f>
        <v>#N/A</v>
      </c>
      <c r="O124" t="e">
        <f>IF($E124="Perfumería",$H124,NA())</f>
        <v>#N/A</v>
      </c>
      <c r="P124" t="e">
        <f>IF($E124="Cuidado Facial",$G124,NA())</f>
        <v>#N/A</v>
      </c>
      <c r="Q124" t="e">
        <f>IF($E124="Cuidado Facial",$H124,NA())</f>
        <v>#N/A</v>
      </c>
      <c r="R124" s="8">
        <f>IF($E124="Capilar",$G124,NA())</f>
        <v>1159.53</v>
      </c>
      <c r="S124" s="8">
        <f>IF($E124="Capilar",$H124,NA())</f>
        <v>527.6</v>
      </c>
      <c r="T124" s="6" t="str">
        <f t="shared" si="1"/>
        <v>Junio</v>
      </c>
    </row>
    <row r="125" spans="1:20" ht="15" customHeight="1" x14ac:dyDescent="0.25">
      <c r="A125" s="5">
        <v>46171</v>
      </c>
      <c r="B125" s="6" t="s">
        <v>41</v>
      </c>
      <c r="C125" s="6" t="s">
        <v>35</v>
      </c>
      <c r="D125" s="6" t="s">
        <v>39</v>
      </c>
      <c r="E125" s="6" t="s">
        <v>40</v>
      </c>
      <c r="F125" s="6">
        <v>6</v>
      </c>
      <c r="G125" s="7">
        <v>2299.5</v>
      </c>
      <c r="H125" s="7">
        <v>1082.46</v>
      </c>
      <c r="I125" s="7">
        <v>13797</v>
      </c>
      <c r="J125" s="7">
        <v>6494.76</v>
      </c>
      <c r="K125" s="7">
        <v>7302.24</v>
      </c>
      <c r="L125" t="e">
        <f>IF($E125="Maquillaje",$G125,NA())</f>
        <v>#N/A</v>
      </c>
      <c r="M125" t="e">
        <f>IF($E125="Maquillaje",$H125,NA())</f>
        <v>#N/A</v>
      </c>
      <c r="N125" t="e">
        <f>IF($E125="Perfumería",$G125,NA())</f>
        <v>#N/A</v>
      </c>
      <c r="O125" t="e">
        <f>IF($E125="Perfumería",$H125,NA())</f>
        <v>#N/A</v>
      </c>
      <c r="P125" s="8">
        <f>IF($E125="Cuidado Facial",$G125,NA())</f>
        <v>2299.5</v>
      </c>
      <c r="Q125" s="8">
        <f>IF($E125="Cuidado Facial",$H125,NA())</f>
        <v>1082.46</v>
      </c>
      <c r="R125" t="e">
        <f>IF($E125="Capilar",$G125,NA())</f>
        <v>#N/A</v>
      </c>
      <c r="S125" t="e">
        <f>IF($E125="Capilar",$H125,NA())</f>
        <v>#N/A</v>
      </c>
      <c r="T125" s="6" t="str">
        <f t="shared" si="1"/>
        <v>Mayo</v>
      </c>
    </row>
    <row r="126" spans="1:20" ht="15" customHeight="1" x14ac:dyDescent="0.25">
      <c r="A126" s="5">
        <v>46120</v>
      </c>
      <c r="B126" s="6" t="s">
        <v>41</v>
      </c>
      <c r="C126" s="6" t="s">
        <v>35</v>
      </c>
      <c r="D126" s="6" t="s">
        <v>47</v>
      </c>
      <c r="E126" s="6" t="s">
        <v>33</v>
      </c>
      <c r="F126" s="6">
        <v>11</v>
      </c>
      <c r="G126" s="7">
        <v>3325.7</v>
      </c>
      <c r="H126" s="7">
        <v>1630.82</v>
      </c>
      <c r="I126" s="7">
        <v>36582.699999999997</v>
      </c>
      <c r="J126" s="7">
        <v>17939.02</v>
      </c>
      <c r="K126" s="7">
        <v>18643.68</v>
      </c>
      <c r="L126" t="e">
        <f>IF($E126="Maquillaje",$G126,NA())</f>
        <v>#N/A</v>
      </c>
      <c r="M126" t="e">
        <f>IF($E126="Maquillaje",$H126,NA())</f>
        <v>#N/A</v>
      </c>
      <c r="N126" s="8">
        <f>IF($E126="Perfumería",$G126,NA())</f>
        <v>3325.7</v>
      </c>
      <c r="O126" s="8">
        <f>IF($E126="Perfumería",$H126,NA())</f>
        <v>1630.82</v>
      </c>
      <c r="P126" t="e">
        <f>IF($E126="Cuidado Facial",$G126,NA())</f>
        <v>#N/A</v>
      </c>
      <c r="Q126" t="e">
        <f>IF($E126="Cuidado Facial",$H126,NA())</f>
        <v>#N/A</v>
      </c>
      <c r="R126" t="e">
        <f>IF($E126="Capilar",$G126,NA())</f>
        <v>#N/A</v>
      </c>
      <c r="S126" t="e">
        <f>IF($E126="Capilar",$H126,NA())</f>
        <v>#N/A</v>
      </c>
      <c r="T126" s="6" t="str">
        <f t="shared" si="1"/>
        <v>Abril</v>
      </c>
    </row>
    <row r="127" spans="1:20" ht="15" customHeight="1" x14ac:dyDescent="0.25">
      <c r="A127" s="5">
        <v>46181</v>
      </c>
      <c r="B127" s="6" t="s">
        <v>34</v>
      </c>
      <c r="C127" s="6" t="s">
        <v>35</v>
      </c>
      <c r="D127" s="6" t="s">
        <v>42</v>
      </c>
      <c r="E127" s="6" t="s">
        <v>43</v>
      </c>
      <c r="F127" s="6">
        <v>6</v>
      </c>
      <c r="G127" s="7">
        <v>858.87</v>
      </c>
      <c r="H127" s="7">
        <v>486.37</v>
      </c>
      <c r="I127" s="7">
        <v>5153.22</v>
      </c>
      <c r="J127" s="7">
        <v>2918.22</v>
      </c>
      <c r="K127" s="7">
        <v>2235</v>
      </c>
      <c r="L127" t="e">
        <f>IF($E127="Maquillaje",$G127,NA())</f>
        <v>#N/A</v>
      </c>
      <c r="M127" t="e">
        <f>IF($E127="Maquillaje",$H127,NA())</f>
        <v>#N/A</v>
      </c>
      <c r="N127" t="e">
        <f>IF($E127="Perfumería",$G127,NA())</f>
        <v>#N/A</v>
      </c>
      <c r="O127" t="e">
        <f>IF($E127="Perfumería",$H127,NA())</f>
        <v>#N/A</v>
      </c>
      <c r="P127" t="e">
        <f>IF($E127="Cuidado Facial",$G127,NA())</f>
        <v>#N/A</v>
      </c>
      <c r="Q127" t="e">
        <f>IF($E127="Cuidado Facial",$H127,NA())</f>
        <v>#N/A</v>
      </c>
      <c r="R127" s="8">
        <f>IF($E127="Capilar",$G127,NA())</f>
        <v>858.87</v>
      </c>
      <c r="S127" s="8">
        <f>IF($E127="Capilar",$H127,NA())</f>
        <v>486.37</v>
      </c>
      <c r="T127" s="6" t="str">
        <f t="shared" si="1"/>
        <v>Junio</v>
      </c>
    </row>
    <row r="128" spans="1:20" ht="15" customHeight="1" x14ac:dyDescent="0.25">
      <c r="A128" s="5">
        <v>46290</v>
      </c>
      <c r="B128" s="6" t="s">
        <v>30</v>
      </c>
      <c r="C128" s="6" t="s">
        <v>31</v>
      </c>
      <c r="D128" s="6" t="s">
        <v>42</v>
      </c>
      <c r="E128" s="6" t="s">
        <v>43</v>
      </c>
      <c r="F128" s="6">
        <v>2</v>
      </c>
      <c r="G128" s="7">
        <v>857.68</v>
      </c>
      <c r="H128" s="7">
        <v>469.17</v>
      </c>
      <c r="I128" s="7">
        <v>1715.36</v>
      </c>
      <c r="J128" s="7">
        <v>938.34</v>
      </c>
      <c r="K128" s="7">
        <v>777.02</v>
      </c>
      <c r="L128" t="e">
        <f>IF($E128="Maquillaje",$G128,NA())</f>
        <v>#N/A</v>
      </c>
      <c r="M128" t="e">
        <f>IF($E128="Maquillaje",$H128,NA())</f>
        <v>#N/A</v>
      </c>
      <c r="N128" t="e">
        <f>IF($E128="Perfumería",$G128,NA())</f>
        <v>#N/A</v>
      </c>
      <c r="O128" t="e">
        <f>IF($E128="Perfumería",$H128,NA())</f>
        <v>#N/A</v>
      </c>
      <c r="P128" t="e">
        <f>IF($E128="Cuidado Facial",$G128,NA())</f>
        <v>#N/A</v>
      </c>
      <c r="Q128" t="e">
        <f>IF($E128="Cuidado Facial",$H128,NA())</f>
        <v>#N/A</v>
      </c>
      <c r="R128" s="8">
        <f>IF($E128="Capilar",$G128,NA())</f>
        <v>857.68</v>
      </c>
      <c r="S128" s="8">
        <f>IF($E128="Capilar",$H128,NA())</f>
        <v>469.17</v>
      </c>
      <c r="T128" s="6" t="str">
        <f t="shared" si="1"/>
        <v>Septiembre</v>
      </c>
    </row>
    <row r="129" spans="1:20" ht="15" customHeight="1" x14ac:dyDescent="0.25">
      <c r="A129" s="5">
        <v>46068</v>
      </c>
      <c r="B129" s="6" t="s">
        <v>30</v>
      </c>
      <c r="C129" s="6" t="s">
        <v>48</v>
      </c>
      <c r="D129" s="6" t="s">
        <v>44</v>
      </c>
      <c r="E129" s="6" t="s">
        <v>37</v>
      </c>
      <c r="F129" s="6">
        <v>12</v>
      </c>
      <c r="G129" s="7">
        <v>1216.56</v>
      </c>
      <c r="H129" s="7">
        <v>643.6</v>
      </c>
      <c r="I129" s="7">
        <v>14598.72</v>
      </c>
      <c r="J129" s="7">
        <v>7723.2</v>
      </c>
      <c r="K129" s="7">
        <v>6875.52</v>
      </c>
      <c r="L129" s="8">
        <f>IF($E129="Maquillaje",$G129,NA())</f>
        <v>1216.56</v>
      </c>
      <c r="M129" s="8">
        <f>IF($E129="Maquillaje",$H129,NA())</f>
        <v>643.6</v>
      </c>
      <c r="N129" t="e">
        <f>IF($E129="Perfumería",$G129,NA())</f>
        <v>#N/A</v>
      </c>
      <c r="O129" t="e">
        <f>IF($E129="Perfumería",$H129,NA())</f>
        <v>#N/A</v>
      </c>
      <c r="P129" t="e">
        <f>IF($E129="Cuidado Facial",$G129,NA())</f>
        <v>#N/A</v>
      </c>
      <c r="Q129" t="e">
        <f>IF($E129="Cuidado Facial",$H129,NA())</f>
        <v>#N/A</v>
      </c>
      <c r="R129" t="e">
        <f>IF($E129="Capilar",$G129,NA())</f>
        <v>#N/A</v>
      </c>
      <c r="S129" t="e">
        <f>IF($E129="Capilar",$H129,NA())</f>
        <v>#N/A</v>
      </c>
      <c r="T129" s="6" t="str">
        <f t="shared" si="1"/>
        <v>Febrero</v>
      </c>
    </row>
    <row r="130" spans="1:20" ht="15" customHeight="1" x14ac:dyDescent="0.25">
      <c r="A130" s="5">
        <v>46030</v>
      </c>
      <c r="B130" s="6" t="s">
        <v>46</v>
      </c>
      <c r="C130" s="6" t="s">
        <v>31</v>
      </c>
      <c r="D130" s="6" t="s">
        <v>39</v>
      </c>
      <c r="E130" s="6" t="s">
        <v>40</v>
      </c>
      <c r="F130" s="6">
        <v>12</v>
      </c>
      <c r="G130" s="7">
        <v>2142.0500000000002</v>
      </c>
      <c r="H130" s="7">
        <v>1146.1199999999999</v>
      </c>
      <c r="I130" s="7">
        <v>25704.6</v>
      </c>
      <c r="J130" s="7">
        <v>13753.44</v>
      </c>
      <c r="K130" s="7">
        <v>11951.16</v>
      </c>
      <c r="L130" t="e">
        <f>IF($E130="Maquillaje",$G130,NA())</f>
        <v>#N/A</v>
      </c>
      <c r="M130" t="e">
        <f>IF($E130="Maquillaje",$H130,NA())</f>
        <v>#N/A</v>
      </c>
      <c r="N130" t="e">
        <f>IF($E130="Perfumería",$G130,NA())</f>
        <v>#N/A</v>
      </c>
      <c r="O130" t="e">
        <f>IF($E130="Perfumería",$H130,NA())</f>
        <v>#N/A</v>
      </c>
      <c r="P130" s="8">
        <f>IF($E130="Cuidado Facial",$G130,NA())</f>
        <v>2142.0500000000002</v>
      </c>
      <c r="Q130" s="8">
        <f>IF($E130="Cuidado Facial",$H130,NA())</f>
        <v>1146.1199999999999</v>
      </c>
      <c r="R130" t="e">
        <f>IF($E130="Capilar",$G130,NA())</f>
        <v>#N/A</v>
      </c>
      <c r="S130" t="e">
        <f>IF($E130="Capilar",$H130,NA())</f>
        <v>#N/A</v>
      </c>
      <c r="T130" s="6" t="str">
        <f t="shared" ref="T130:T193" si="2">CHOOSE(MONTH(A130),"Enero","Febrero","Marzo","Abril","Mayo","Junio","Julio","Agosto","Septiembre","Octubre","Noviembre","Diciembre")</f>
        <v>Enero</v>
      </c>
    </row>
    <row r="131" spans="1:20" ht="15" customHeight="1" x14ac:dyDescent="0.25">
      <c r="A131" s="5">
        <v>46317</v>
      </c>
      <c r="B131" s="6" t="s">
        <v>34</v>
      </c>
      <c r="C131" s="6" t="s">
        <v>35</v>
      </c>
      <c r="D131" s="6" t="s">
        <v>36</v>
      </c>
      <c r="E131" s="6" t="s">
        <v>37</v>
      </c>
      <c r="F131" s="6">
        <v>11</v>
      </c>
      <c r="G131" s="7">
        <v>1352.57</v>
      </c>
      <c r="H131" s="7">
        <v>827.09</v>
      </c>
      <c r="I131" s="7">
        <v>14878.27</v>
      </c>
      <c r="J131" s="7">
        <v>9097.99</v>
      </c>
      <c r="K131" s="7">
        <v>5780.28</v>
      </c>
      <c r="L131" s="8">
        <f>IF($E131="Maquillaje",$G131,NA())</f>
        <v>1352.57</v>
      </c>
      <c r="M131" s="8">
        <f>IF($E131="Maquillaje",$H131,NA())</f>
        <v>827.09</v>
      </c>
      <c r="N131" t="e">
        <f>IF($E131="Perfumería",$G131,NA())</f>
        <v>#N/A</v>
      </c>
      <c r="O131" t="e">
        <f>IF($E131="Perfumería",$H131,NA())</f>
        <v>#N/A</v>
      </c>
      <c r="P131" t="e">
        <f>IF($E131="Cuidado Facial",$G131,NA())</f>
        <v>#N/A</v>
      </c>
      <c r="Q131" t="e">
        <f>IF($E131="Cuidado Facial",$H131,NA())</f>
        <v>#N/A</v>
      </c>
      <c r="R131" t="e">
        <f>IF($E131="Capilar",$G131,NA())</f>
        <v>#N/A</v>
      </c>
      <c r="S131" t="e">
        <f>IF($E131="Capilar",$H131,NA())</f>
        <v>#N/A</v>
      </c>
      <c r="T131" s="6" t="str">
        <f t="shared" si="2"/>
        <v>Octubre</v>
      </c>
    </row>
    <row r="132" spans="1:20" ht="15" customHeight="1" x14ac:dyDescent="0.25">
      <c r="A132" s="5">
        <v>46162</v>
      </c>
      <c r="B132" s="6" t="s">
        <v>46</v>
      </c>
      <c r="C132" s="6" t="s">
        <v>31</v>
      </c>
      <c r="D132" s="6" t="s">
        <v>39</v>
      </c>
      <c r="E132" s="6" t="s">
        <v>40</v>
      </c>
      <c r="F132" s="6">
        <v>10</v>
      </c>
      <c r="G132" s="7">
        <v>2299.06</v>
      </c>
      <c r="H132" s="7">
        <v>1092.69</v>
      </c>
      <c r="I132" s="7">
        <v>22990.6</v>
      </c>
      <c r="J132" s="7">
        <v>10926.9</v>
      </c>
      <c r="K132" s="7">
        <v>12063.7</v>
      </c>
      <c r="L132" t="e">
        <f>IF($E132="Maquillaje",$G132,NA())</f>
        <v>#N/A</v>
      </c>
      <c r="M132" t="e">
        <f>IF($E132="Maquillaje",$H132,NA())</f>
        <v>#N/A</v>
      </c>
      <c r="N132" t="e">
        <f>IF($E132="Perfumería",$G132,NA())</f>
        <v>#N/A</v>
      </c>
      <c r="O132" t="e">
        <f>IF($E132="Perfumería",$H132,NA())</f>
        <v>#N/A</v>
      </c>
      <c r="P132" s="8">
        <f>IF($E132="Cuidado Facial",$G132,NA())</f>
        <v>2299.06</v>
      </c>
      <c r="Q132" s="8">
        <f>IF($E132="Cuidado Facial",$H132,NA())</f>
        <v>1092.69</v>
      </c>
      <c r="R132" t="e">
        <f>IF($E132="Capilar",$G132,NA())</f>
        <v>#N/A</v>
      </c>
      <c r="S132" t="e">
        <f>IF($E132="Capilar",$H132,NA())</f>
        <v>#N/A</v>
      </c>
      <c r="T132" s="6" t="str">
        <f t="shared" si="2"/>
        <v>Mayo</v>
      </c>
    </row>
    <row r="133" spans="1:20" ht="15" customHeight="1" x14ac:dyDescent="0.25">
      <c r="A133" s="5">
        <v>46030</v>
      </c>
      <c r="B133" s="6" t="s">
        <v>46</v>
      </c>
      <c r="C133" s="6" t="s">
        <v>31</v>
      </c>
      <c r="D133" s="6" t="s">
        <v>32</v>
      </c>
      <c r="E133" s="6" t="s">
        <v>33</v>
      </c>
      <c r="F133" s="6">
        <v>7</v>
      </c>
      <c r="G133" s="7">
        <v>3525.68</v>
      </c>
      <c r="H133" s="7">
        <v>1785.62</v>
      </c>
      <c r="I133" s="7">
        <v>24679.759999999998</v>
      </c>
      <c r="J133" s="7">
        <v>12499.34</v>
      </c>
      <c r="K133" s="7">
        <v>12180.42</v>
      </c>
      <c r="L133" t="e">
        <f>IF($E133="Maquillaje",$G133,NA())</f>
        <v>#N/A</v>
      </c>
      <c r="M133" t="e">
        <f>IF($E133="Maquillaje",$H133,NA())</f>
        <v>#N/A</v>
      </c>
      <c r="N133">
        <f>IF($E133="Perfumería",$G133,NA())</f>
        <v>3525.68</v>
      </c>
      <c r="O133">
        <f>IF($E133="Perfumería",$H133,NA())</f>
        <v>1785.62</v>
      </c>
      <c r="P133" t="e">
        <f>IF($E133="Cuidado Facial",$G133,NA())</f>
        <v>#N/A</v>
      </c>
      <c r="Q133" t="e">
        <f>IF($E133="Cuidado Facial",$H133,NA())</f>
        <v>#N/A</v>
      </c>
      <c r="R133" t="e">
        <f>IF($E133="Capilar",$G133,NA())</f>
        <v>#N/A</v>
      </c>
      <c r="S133" t="e">
        <f>IF($E133="Capilar",$H133,NA())</f>
        <v>#N/A</v>
      </c>
      <c r="T133" s="6" t="str">
        <f t="shared" si="2"/>
        <v>Enero</v>
      </c>
    </row>
    <row r="134" spans="1:20" ht="15" customHeight="1" x14ac:dyDescent="0.25">
      <c r="A134" s="5">
        <v>46023</v>
      </c>
      <c r="B134" s="6" t="s">
        <v>34</v>
      </c>
      <c r="C134" s="6" t="s">
        <v>35</v>
      </c>
      <c r="D134" s="6" t="s">
        <v>44</v>
      </c>
      <c r="E134" s="6" t="s">
        <v>37</v>
      </c>
      <c r="F134" s="6">
        <v>14</v>
      </c>
      <c r="G134" s="7">
        <v>1113.76</v>
      </c>
      <c r="H134" s="7">
        <v>700.78</v>
      </c>
      <c r="I134" s="7">
        <v>15592.64</v>
      </c>
      <c r="J134" s="7">
        <v>9810.92</v>
      </c>
      <c r="K134" s="7">
        <v>5781.72</v>
      </c>
      <c r="L134" s="8">
        <f>IF($E134="Maquillaje",$G134,NA())</f>
        <v>1113.76</v>
      </c>
      <c r="M134" s="8">
        <f>IF($E134="Maquillaje",$H134,NA())</f>
        <v>700.78</v>
      </c>
      <c r="N134" t="e">
        <f>IF($E134="Perfumería",$G134,NA())</f>
        <v>#N/A</v>
      </c>
      <c r="O134" t="e">
        <f>IF($E134="Perfumería",$H134,NA())</f>
        <v>#N/A</v>
      </c>
      <c r="P134" t="e">
        <f>IF($E134="Cuidado Facial",$G134,NA())</f>
        <v>#N/A</v>
      </c>
      <c r="Q134" t="e">
        <f>IF($E134="Cuidado Facial",$H134,NA())</f>
        <v>#N/A</v>
      </c>
      <c r="R134" t="e">
        <f>IF($E134="Capilar",$G134,NA())</f>
        <v>#N/A</v>
      </c>
      <c r="S134" t="e">
        <f>IF($E134="Capilar",$H134,NA())</f>
        <v>#N/A</v>
      </c>
      <c r="T134" s="6" t="str">
        <f t="shared" si="2"/>
        <v>Enero</v>
      </c>
    </row>
    <row r="135" spans="1:20" ht="15" customHeight="1" x14ac:dyDescent="0.25">
      <c r="A135" s="5">
        <v>46303</v>
      </c>
      <c r="B135" s="6" t="s">
        <v>34</v>
      </c>
      <c r="C135" s="6" t="s">
        <v>35</v>
      </c>
      <c r="D135" s="6" t="s">
        <v>45</v>
      </c>
      <c r="E135" s="6" t="s">
        <v>43</v>
      </c>
      <c r="F135" s="6">
        <v>4</v>
      </c>
      <c r="G135" s="7">
        <v>1163.29</v>
      </c>
      <c r="H135" s="7">
        <v>584.89</v>
      </c>
      <c r="I135" s="7">
        <v>4653.16</v>
      </c>
      <c r="J135" s="7">
        <v>2339.56</v>
      </c>
      <c r="K135" s="7">
        <v>2313.6</v>
      </c>
      <c r="L135" t="e">
        <f>IF($E135="Maquillaje",$G135,NA())</f>
        <v>#N/A</v>
      </c>
      <c r="M135" t="e">
        <f>IF($E135="Maquillaje",$H135,NA())</f>
        <v>#N/A</v>
      </c>
      <c r="N135" t="e">
        <f>IF($E135="Perfumería",$G135,NA())</f>
        <v>#N/A</v>
      </c>
      <c r="O135" t="e">
        <f>IF($E135="Perfumería",$H135,NA())</f>
        <v>#N/A</v>
      </c>
      <c r="P135" t="e">
        <f>IF($E135="Cuidado Facial",$G135,NA())</f>
        <v>#N/A</v>
      </c>
      <c r="Q135" t="e">
        <f>IF($E135="Cuidado Facial",$H135,NA())</f>
        <v>#N/A</v>
      </c>
      <c r="R135" s="8">
        <f>IF($E135="Capilar",$G135,NA())</f>
        <v>1163.29</v>
      </c>
      <c r="S135" s="8">
        <f>IF($E135="Capilar",$H135,NA())</f>
        <v>584.89</v>
      </c>
      <c r="T135" s="6" t="str">
        <f t="shared" si="2"/>
        <v>Octubre</v>
      </c>
    </row>
    <row r="136" spans="1:20" ht="15" customHeight="1" x14ac:dyDescent="0.25">
      <c r="A136" s="5">
        <v>46225</v>
      </c>
      <c r="B136" s="6" t="s">
        <v>30</v>
      </c>
      <c r="C136" s="6" t="s">
        <v>48</v>
      </c>
      <c r="D136" s="6" t="s">
        <v>42</v>
      </c>
      <c r="E136" s="6" t="s">
        <v>43</v>
      </c>
      <c r="F136" s="6">
        <v>9</v>
      </c>
      <c r="G136" s="7">
        <v>871.66</v>
      </c>
      <c r="H136" s="7">
        <v>509.43</v>
      </c>
      <c r="I136" s="7">
        <v>7844.94</v>
      </c>
      <c r="J136" s="7">
        <v>4584.87</v>
      </c>
      <c r="K136" s="7">
        <v>3260.07</v>
      </c>
      <c r="L136" t="e">
        <f>IF($E136="Maquillaje",$G136,NA())</f>
        <v>#N/A</v>
      </c>
      <c r="M136" t="e">
        <f>IF($E136="Maquillaje",$H136,NA())</f>
        <v>#N/A</v>
      </c>
      <c r="N136" t="e">
        <f>IF($E136="Perfumería",$G136,NA())</f>
        <v>#N/A</v>
      </c>
      <c r="O136" t="e">
        <f>IF($E136="Perfumería",$H136,NA())</f>
        <v>#N/A</v>
      </c>
      <c r="P136" t="e">
        <f>IF($E136="Cuidado Facial",$G136,NA())</f>
        <v>#N/A</v>
      </c>
      <c r="Q136" t="e">
        <f>IF($E136="Cuidado Facial",$H136,NA())</f>
        <v>#N/A</v>
      </c>
      <c r="R136" s="8">
        <f>IF($E136="Capilar",$G136,NA())</f>
        <v>871.66</v>
      </c>
      <c r="S136" s="8">
        <f>IF($E136="Capilar",$H136,NA())</f>
        <v>509.43</v>
      </c>
      <c r="T136" s="6" t="str">
        <f t="shared" si="2"/>
        <v>Julio</v>
      </c>
    </row>
    <row r="137" spans="1:20" ht="15" customHeight="1" x14ac:dyDescent="0.25">
      <c r="A137" s="5">
        <v>46155</v>
      </c>
      <c r="B137" s="6" t="s">
        <v>46</v>
      </c>
      <c r="C137" s="6" t="s">
        <v>31</v>
      </c>
      <c r="D137" s="6" t="s">
        <v>32</v>
      </c>
      <c r="E137" s="6" t="s">
        <v>33</v>
      </c>
      <c r="F137" s="6">
        <v>4</v>
      </c>
      <c r="G137" s="7">
        <v>3190.77</v>
      </c>
      <c r="H137" s="7">
        <v>1638.24</v>
      </c>
      <c r="I137" s="7">
        <v>12763.08</v>
      </c>
      <c r="J137" s="7">
        <v>6552.96</v>
      </c>
      <c r="K137" s="7">
        <v>6210.12</v>
      </c>
      <c r="L137" t="e">
        <f>IF($E137="Maquillaje",$G137,NA())</f>
        <v>#N/A</v>
      </c>
      <c r="M137" t="e">
        <f>IF($E137="Maquillaje",$H137,NA())</f>
        <v>#N/A</v>
      </c>
      <c r="N137" s="8">
        <f>IF($E137="Perfumería",$G137,NA())</f>
        <v>3190.77</v>
      </c>
      <c r="O137" s="8">
        <f>IF($E137="Perfumería",$H137,NA())</f>
        <v>1638.24</v>
      </c>
      <c r="P137" t="e">
        <f>IF($E137="Cuidado Facial",$G137,NA())</f>
        <v>#N/A</v>
      </c>
      <c r="Q137" t="e">
        <f>IF($E137="Cuidado Facial",$H137,NA())</f>
        <v>#N/A</v>
      </c>
      <c r="R137" t="e">
        <f>IF($E137="Capilar",$G137,NA())</f>
        <v>#N/A</v>
      </c>
      <c r="S137" t="e">
        <f>IF($E137="Capilar",$H137,NA())</f>
        <v>#N/A</v>
      </c>
      <c r="T137" s="6" t="str">
        <f t="shared" si="2"/>
        <v>Mayo</v>
      </c>
    </row>
    <row r="138" spans="1:20" ht="15" customHeight="1" x14ac:dyDescent="0.25">
      <c r="A138" s="5">
        <v>46229</v>
      </c>
      <c r="B138" s="6" t="s">
        <v>30</v>
      </c>
      <c r="C138" s="6" t="s">
        <v>48</v>
      </c>
      <c r="D138" s="6" t="s">
        <v>45</v>
      </c>
      <c r="E138" s="6" t="s">
        <v>43</v>
      </c>
      <c r="F138" s="6">
        <v>14</v>
      </c>
      <c r="G138" s="7">
        <v>1013.35</v>
      </c>
      <c r="H138" s="7">
        <v>574.87</v>
      </c>
      <c r="I138" s="7">
        <v>14186.9</v>
      </c>
      <c r="J138" s="7">
        <v>8048.18</v>
      </c>
      <c r="K138" s="7">
        <v>6138.72</v>
      </c>
      <c r="L138" t="e">
        <f>IF($E138="Maquillaje",$G138,NA())</f>
        <v>#N/A</v>
      </c>
      <c r="M138" t="e">
        <f>IF($E138="Maquillaje",$H138,NA())</f>
        <v>#N/A</v>
      </c>
      <c r="N138" t="e">
        <f>IF($E138="Perfumería",$G138,NA())</f>
        <v>#N/A</v>
      </c>
      <c r="O138" t="e">
        <f>IF($E138="Perfumería",$H138,NA())</f>
        <v>#N/A</v>
      </c>
      <c r="P138" t="e">
        <f>IF($E138="Cuidado Facial",$G138,NA())</f>
        <v>#N/A</v>
      </c>
      <c r="Q138" t="e">
        <f>IF($E138="Cuidado Facial",$H138,NA())</f>
        <v>#N/A</v>
      </c>
      <c r="R138" s="8">
        <f>IF($E138="Capilar",$G138,NA())</f>
        <v>1013.35</v>
      </c>
      <c r="S138" s="8">
        <f>IF($E138="Capilar",$H138,NA())</f>
        <v>574.87</v>
      </c>
      <c r="T138" s="6" t="str">
        <f t="shared" si="2"/>
        <v>Julio</v>
      </c>
    </row>
    <row r="139" spans="1:20" ht="15" customHeight="1" x14ac:dyDescent="0.25">
      <c r="A139" s="5">
        <v>46199</v>
      </c>
      <c r="B139" s="6" t="s">
        <v>38</v>
      </c>
      <c r="C139" s="6" t="s">
        <v>31</v>
      </c>
      <c r="D139" s="6" t="s">
        <v>44</v>
      </c>
      <c r="E139" s="6" t="s">
        <v>37</v>
      </c>
      <c r="F139" s="6">
        <v>14</v>
      </c>
      <c r="G139" s="7">
        <v>1287.8599999999999</v>
      </c>
      <c r="H139" s="7">
        <v>648.22</v>
      </c>
      <c r="I139" s="7">
        <v>18030.04</v>
      </c>
      <c r="J139" s="7">
        <v>9075.08</v>
      </c>
      <c r="K139" s="7">
        <v>8954.9599999999991</v>
      </c>
      <c r="L139" s="8">
        <f>IF($E139="Maquillaje",$G139,NA())</f>
        <v>1287.8599999999999</v>
      </c>
      <c r="M139" s="8">
        <f>IF($E139="Maquillaje",$H139,NA())</f>
        <v>648.22</v>
      </c>
      <c r="N139" t="e">
        <f>IF($E139="Perfumería",$G139,NA())</f>
        <v>#N/A</v>
      </c>
      <c r="O139" t="e">
        <f>IF($E139="Perfumería",$H139,NA())</f>
        <v>#N/A</v>
      </c>
      <c r="P139" t="e">
        <f>IF($E139="Cuidado Facial",$G139,NA())</f>
        <v>#N/A</v>
      </c>
      <c r="Q139" t="e">
        <f>IF($E139="Cuidado Facial",$H139,NA())</f>
        <v>#N/A</v>
      </c>
      <c r="R139" t="e">
        <f>IF($E139="Capilar",$G139,NA())</f>
        <v>#N/A</v>
      </c>
      <c r="S139" t="e">
        <f>IF($E139="Capilar",$H139,NA())</f>
        <v>#N/A</v>
      </c>
      <c r="T139" s="6" t="str">
        <f t="shared" si="2"/>
        <v>Junio</v>
      </c>
    </row>
    <row r="140" spans="1:20" ht="15" customHeight="1" x14ac:dyDescent="0.25">
      <c r="A140" s="5">
        <v>46384</v>
      </c>
      <c r="B140" s="6" t="s">
        <v>30</v>
      </c>
      <c r="C140" s="6" t="s">
        <v>31</v>
      </c>
      <c r="D140" s="6" t="s">
        <v>36</v>
      </c>
      <c r="E140" s="6" t="s">
        <v>37</v>
      </c>
      <c r="F140" s="6">
        <v>2</v>
      </c>
      <c r="G140" s="7">
        <v>1379.59</v>
      </c>
      <c r="H140" s="7">
        <v>790.06</v>
      </c>
      <c r="I140" s="7">
        <v>2759.18</v>
      </c>
      <c r="J140" s="7">
        <v>1580.12</v>
      </c>
      <c r="K140" s="7">
        <v>1179.06</v>
      </c>
      <c r="L140" s="8">
        <f>IF($E140="Maquillaje",$G140,NA())</f>
        <v>1379.59</v>
      </c>
      <c r="M140" s="8">
        <f>IF($E140="Maquillaje",$H140,NA())</f>
        <v>790.06</v>
      </c>
      <c r="N140" t="e">
        <f>IF($E140="Perfumería",$G140,NA())</f>
        <v>#N/A</v>
      </c>
      <c r="O140" t="e">
        <f>IF($E140="Perfumería",$H140,NA())</f>
        <v>#N/A</v>
      </c>
      <c r="P140" t="e">
        <f>IF($E140="Cuidado Facial",$G140,NA())</f>
        <v>#N/A</v>
      </c>
      <c r="Q140" t="e">
        <f>IF($E140="Cuidado Facial",$H140,NA())</f>
        <v>#N/A</v>
      </c>
      <c r="R140" t="e">
        <f>IF($E140="Capilar",$G140,NA())</f>
        <v>#N/A</v>
      </c>
      <c r="S140" t="e">
        <f>IF($E140="Capilar",$H140,NA())</f>
        <v>#N/A</v>
      </c>
      <c r="T140" s="6" t="str">
        <f t="shared" si="2"/>
        <v>Diciembre</v>
      </c>
    </row>
    <row r="141" spans="1:20" ht="15" customHeight="1" x14ac:dyDescent="0.25">
      <c r="A141" s="5">
        <v>46047</v>
      </c>
      <c r="B141" s="6" t="s">
        <v>38</v>
      </c>
      <c r="C141" s="6" t="s">
        <v>31</v>
      </c>
      <c r="D141" s="6" t="s">
        <v>36</v>
      </c>
      <c r="E141" s="6" t="s">
        <v>37</v>
      </c>
      <c r="F141" s="6">
        <v>6</v>
      </c>
      <c r="G141" s="7">
        <v>1523.94</v>
      </c>
      <c r="H141" s="7">
        <v>848.54</v>
      </c>
      <c r="I141" s="7">
        <v>9143.64</v>
      </c>
      <c r="J141" s="7">
        <v>5091.24</v>
      </c>
      <c r="K141" s="7">
        <v>4052.4</v>
      </c>
      <c r="L141" s="8">
        <f>IF($E141="Maquillaje",$G141,NA())</f>
        <v>1523.94</v>
      </c>
      <c r="M141" s="8">
        <f>IF($E141="Maquillaje",$H141,NA())</f>
        <v>848.54</v>
      </c>
      <c r="N141" t="e">
        <f>IF($E141="Perfumería",$G141,NA())</f>
        <v>#N/A</v>
      </c>
      <c r="O141" t="e">
        <f>IF($E141="Perfumería",$H141,NA())</f>
        <v>#N/A</v>
      </c>
      <c r="P141" t="e">
        <f>IF($E141="Cuidado Facial",$G141,NA())</f>
        <v>#N/A</v>
      </c>
      <c r="Q141" t="e">
        <f>IF($E141="Cuidado Facial",$H141,NA())</f>
        <v>#N/A</v>
      </c>
      <c r="R141" t="e">
        <f>IF($E141="Capilar",$G141,NA())</f>
        <v>#N/A</v>
      </c>
      <c r="S141" t="e">
        <f>IF($E141="Capilar",$H141,NA())</f>
        <v>#N/A</v>
      </c>
      <c r="T141" s="6" t="str">
        <f t="shared" si="2"/>
        <v>Enero</v>
      </c>
    </row>
    <row r="142" spans="1:20" ht="15" customHeight="1" x14ac:dyDescent="0.25">
      <c r="A142" s="5">
        <v>46357</v>
      </c>
      <c r="B142" s="6" t="s">
        <v>41</v>
      </c>
      <c r="C142" s="6" t="s">
        <v>35</v>
      </c>
      <c r="D142" s="6" t="s">
        <v>42</v>
      </c>
      <c r="E142" s="6" t="s">
        <v>43</v>
      </c>
      <c r="F142" s="6">
        <v>6</v>
      </c>
      <c r="G142" s="7">
        <v>946.45</v>
      </c>
      <c r="H142" s="7">
        <v>448.18</v>
      </c>
      <c r="I142" s="7">
        <v>5678.7</v>
      </c>
      <c r="J142" s="7">
        <v>2689.08</v>
      </c>
      <c r="K142" s="7">
        <v>2989.62</v>
      </c>
      <c r="L142" t="e">
        <f>IF($E142="Maquillaje",$G142,NA())</f>
        <v>#N/A</v>
      </c>
      <c r="M142" t="e">
        <f>IF($E142="Maquillaje",$H142,NA())</f>
        <v>#N/A</v>
      </c>
      <c r="N142" t="e">
        <f>IF($E142="Perfumería",$G142,NA())</f>
        <v>#N/A</v>
      </c>
      <c r="O142" t="e">
        <f>IF($E142="Perfumería",$H142,NA())</f>
        <v>#N/A</v>
      </c>
      <c r="P142" t="e">
        <f>IF($E142="Cuidado Facial",$G142,NA())</f>
        <v>#N/A</v>
      </c>
      <c r="Q142" t="e">
        <f>IF($E142="Cuidado Facial",$H142,NA())</f>
        <v>#N/A</v>
      </c>
      <c r="R142" s="8">
        <f>IF($E142="Capilar",$G142,NA())</f>
        <v>946.45</v>
      </c>
      <c r="S142" s="8">
        <f>IF($E142="Capilar",$H142,NA())</f>
        <v>448.18</v>
      </c>
      <c r="T142" s="6" t="str">
        <f t="shared" si="2"/>
        <v>Diciembre</v>
      </c>
    </row>
    <row r="143" spans="1:20" ht="15" customHeight="1" x14ac:dyDescent="0.25">
      <c r="A143" s="5">
        <v>46029</v>
      </c>
      <c r="B143" s="6" t="s">
        <v>30</v>
      </c>
      <c r="C143" s="6" t="s">
        <v>31</v>
      </c>
      <c r="D143" s="6" t="s">
        <v>47</v>
      </c>
      <c r="E143" s="6" t="s">
        <v>33</v>
      </c>
      <c r="F143" s="6">
        <v>2</v>
      </c>
      <c r="G143" s="7">
        <v>3477.75</v>
      </c>
      <c r="H143" s="7">
        <v>1717.36</v>
      </c>
      <c r="I143" s="7">
        <v>6955.5</v>
      </c>
      <c r="J143" s="7">
        <v>3434.72</v>
      </c>
      <c r="K143" s="7">
        <v>3520.78</v>
      </c>
      <c r="L143" t="e">
        <f>IF($E143="Maquillaje",$G143,NA())</f>
        <v>#N/A</v>
      </c>
      <c r="M143" t="e">
        <f>IF($E143="Maquillaje",$H143,NA())</f>
        <v>#N/A</v>
      </c>
      <c r="N143" s="8">
        <f>IF($E143="Perfumería",$G143,NA())</f>
        <v>3477.75</v>
      </c>
      <c r="O143" s="8">
        <f>IF($E143="Perfumería",$H143,NA())</f>
        <v>1717.36</v>
      </c>
      <c r="P143" t="e">
        <f>IF($E143="Cuidado Facial",$G143,NA())</f>
        <v>#N/A</v>
      </c>
      <c r="Q143" t="e">
        <f>IF($E143="Cuidado Facial",$H143,NA())</f>
        <v>#N/A</v>
      </c>
      <c r="R143" t="e">
        <f>IF($E143="Capilar",$G143,NA())</f>
        <v>#N/A</v>
      </c>
      <c r="S143" t="e">
        <f>IF($E143="Capilar",$H143,NA())</f>
        <v>#N/A</v>
      </c>
      <c r="T143" s="6" t="str">
        <f t="shared" si="2"/>
        <v>Enero</v>
      </c>
    </row>
    <row r="144" spans="1:20" ht="15" customHeight="1" x14ac:dyDescent="0.25">
      <c r="A144" s="5">
        <v>46072</v>
      </c>
      <c r="B144" s="6" t="s">
        <v>34</v>
      </c>
      <c r="C144" s="6" t="s">
        <v>35</v>
      </c>
      <c r="D144" s="6" t="s">
        <v>45</v>
      </c>
      <c r="E144" s="6" t="s">
        <v>43</v>
      </c>
      <c r="F144" s="6">
        <v>6</v>
      </c>
      <c r="G144" s="7">
        <v>1171.07</v>
      </c>
      <c r="H144" s="7">
        <v>557.48</v>
      </c>
      <c r="I144" s="7">
        <v>7026.42</v>
      </c>
      <c r="J144" s="7">
        <v>3344.88</v>
      </c>
      <c r="K144" s="7">
        <v>3681.54</v>
      </c>
      <c r="L144" t="e">
        <f>IF($E144="Maquillaje",$G144,NA())</f>
        <v>#N/A</v>
      </c>
      <c r="M144" t="e">
        <f>IF($E144="Maquillaje",$H144,NA())</f>
        <v>#N/A</v>
      </c>
      <c r="N144" t="e">
        <f>IF($E144="Perfumería",$G144,NA())</f>
        <v>#N/A</v>
      </c>
      <c r="O144" t="e">
        <f>IF($E144="Perfumería",$H144,NA())</f>
        <v>#N/A</v>
      </c>
      <c r="P144" t="e">
        <f>IF($E144="Cuidado Facial",$G144,NA())</f>
        <v>#N/A</v>
      </c>
      <c r="Q144" t="e">
        <f>IF($E144="Cuidado Facial",$H144,NA())</f>
        <v>#N/A</v>
      </c>
      <c r="R144" s="8">
        <f>IF($E144="Capilar",$G144,NA())</f>
        <v>1171.07</v>
      </c>
      <c r="S144" s="8">
        <f>IF($E144="Capilar",$H144,NA())</f>
        <v>557.48</v>
      </c>
      <c r="T144" s="6" t="str">
        <f t="shared" si="2"/>
        <v>Febrero</v>
      </c>
    </row>
    <row r="145" spans="1:20" ht="15" customHeight="1" x14ac:dyDescent="0.25">
      <c r="A145" s="5">
        <v>46052</v>
      </c>
      <c r="B145" s="6" t="s">
        <v>41</v>
      </c>
      <c r="C145" s="6" t="s">
        <v>35</v>
      </c>
      <c r="D145" s="6" t="s">
        <v>47</v>
      </c>
      <c r="E145" s="6" t="s">
        <v>33</v>
      </c>
      <c r="F145" s="6">
        <v>7</v>
      </c>
      <c r="G145" s="7">
        <v>3143.54</v>
      </c>
      <c r="H145" s="7">
        <v>1489.82</v>
      </c>
      <c r="I145" s="7">
        <v>22004.78</v>
      </c>
      <c r="J145" s="7">
        <v>10428.74</v>
      </c>
      <c r="K145" s="7">
        <v>11576.04</v>
      </c>
      <c r="L145" t="e">
        <f>IF($E145="Maquillaje",$G145,NA())</f>
        <v>#N/A</v>
      </c>
      <c r="M145" t="e">
        <f>IF($E145="Maquillaje",$H145,NA())</f>
        <v>#N/A</v>
      </c>
      <c r="N145">
        <f>IF($E145="Perfumería",$G145,NA())</f>
        <v>3143.54</v>
      </c>
      <c r="O145">
        <f>IF($E145="Perfumería",$H145,NA())</f>
        <v>1489.82</v>
      </c>
      <c r="P145" t="e">
        <f>IF($E145="Cuidado Facial",$G145,NA())</f>
        <v>#N/A</v>
      </c>
      <c r="Q145" t="e">
        <f>IF($E145="Cuidado Facial",$H145,NA())</f>
        <v>#N/A</v>
      </c>
      <c r="R145" t="e">
        <f>IF($E145="Capilar",$G145,NA())</f>
        <v>#N/A</v>
      </c>
      <c r="S145" t="e">
        <f>IF($E145="Capilar",$H145,NA())</f>
        <v>#N/A</v>
      </c>
      <c r="T145" s="6" t="str">
        <f t="shared" si="2"/>
        <v>Enero</v>
      </c>
    </row>
    <row r="146" spans="1:20" ht="15" customHeight="1" x14ac:dyDescent="0.25">
      <c r="A146" s="5">
        <v>46108</v>
      </c>
      <c r="B146" s="6" t="s">
        <v>30</v>
      </c>
      <c r="C146" s="6" t="s">
        <v>48</v>
      </c>
      <c r="D146" s="6" t="s">
        <v>45</v>
      </c>
      <c r="E146" s="6" t="s">
        <v>43</v>
      </c>
      <c r="F146" s="6">
        <v>3</v>
      </c>
      <c r="G146" s="7">
        <v>1205.3</v>
      </c>
      <c r="H146" s="7">
        <v>510.37</v>
      </c>
      <c r="I146" s="7">
        <v>3615.9</v>
      </c>
      <c r="J146" s="7">
        <v>1531.11</v>
      </c>
      <c r="K146" s="7">
        <v>2084.79</v>
      </c>
      <c r="L146" t="e">
        <f>IF($E146="Maquillaje",$G146,NA())</f>
        <v>#N/A</v>
      </c>
      <c r="M146" t="e">
        <f>IF($E146="Maquillaje",$H146,NA())</f>
        <v>#N/A</v>
      </c>
      <c r="N146" t="e">
        <f>IF($E146="Perfumería",$G146,NA())</f>
        <v>#N/A</v>
      </c>
      <c r="O146" t="e">
        <f>IF($E146="Perfumería",$H146,NA())</f>
        <v>#N/A</v>
      </c>
      <c r="P146" t="e">
        <f>IF($E146="Cuidado Facial",$G146,NA())</f>
        <v>#N/A</v>
      </c>
      <c r="Q146" t="e">
        <f>IF($E146="Cuidado Facial",$H146,NA())</f>
        <v>#N/A</v>
      </c>
      <c r="R146" s="8">
        <f>IF($E146="Capilar",$G146,NA())</f>
        <v>1205.3</v>
      </c>
      <c r="S146" s="8">
        <f>IF($E146="Capilar",$H146,NA())</f>
        <v>510.37</v>
      </c>
      <c r="T146" s="6" t="str">
        <f t="shared" si="2"/>
        <v>Marzo</v>
      </c>
    </row>
    <row r="147" spans="1:20" ht="15" customHeight="1" x14ac:dyDescent="0.25">
      <c r="A147" s="5">
        <v>46267</v>
      </c>
      <c r="B147" s="6" t="s">
        <v>30</v>
      </c>
      <c r="C147" s="6" t="s">
        <v>48</v>
      </c>
      <c r="D147" s="6" t="s">
        <v>49</v>
      </c>
      <c r="E147" s="6" t="s">
        <v>40</v>
      </c>
      <c r="F147" s="6">
        <v>5</v>
      </c>
      <c r="G147" s="7">
        <v>1979.31</v>
      </c>
      <c r="H147" s="7">
        <v>976.51</v>
      </c>
      <c r="I147" s="7">
        <v>9896.5499999999993</v>
      </c>
      <c r="J147" s="7">
        <v>4882.55</v>
      </c>
      <c r="K147" s="7">
        <v>5014</v>
      </c>
      <c r="L147" t="e">
        <f>IF($E147="Maquillaje",$G147,NA())</f>
        <v>#N/A</v>
      </c>
      <c r="M147" t="e">
        <f>IF($E147="Maquillaje",$H147,NA())</f>
        <v>#N/A</v>
      </c>
      <c r="N147" t="e">
        <f>IF($E147="Perfumería",$G147,NA())</f>
        <v>#N/A</v>
      </c>
      <c r="O147" t="e">
        <f>IF($E147="Perfumería",$H147,NA())</f>
        <v>#N/A</v>
      </c>
      <c r="P147" s="8">
        <f>IF($E147="Cuidado Facial",$G147,NA())</f>
        <v>1979.31</v>
      </c>
      <c r="Q147" s="8">
        <f>IF($E147="Cuidado Facial",$H147,NA())</f>
        <v>976.51</v>
      </c>
      <c r="R147" t="e">
        <f>IF($E147="Capilar",$G147,NA())</f>
        <v>#N/A</v>
      </c>
      <c r="S147" t="e">
        <f>IF($E147="Capilar",$H147,NA())</f>
        <v>#N/A</v>
      </c>
      <c r="T147" s="6" t="str">
        <f t="shared" si="2"/>
        <v>Septiembre</v>
      </c>
    </row>
    <row r="148" spans="1:20" ht="15" customHeight="1" x14ac:dyDescent="0.25">
      <c r="A148" s="5">
        <v>46052</v>
      </c>
      <c r="B148" s="6" t="s">
        <v>34</v>
      </c>
      <c r="C148" s="6" t="s">
        <v>35</v>
      </c>
      <c r="D148" s="6" t="s">
        <v>45</v>
      </c>
      <c r="E148" s="6" t="s">
        <v>43</v>
      </c>
      <c r="F148" s="6">
        <v>6</v>
      </c>
      <c r="G148" s="7">
        <v>1102.3699999999999</v>
      </c>
      <c r="H148" s="7">
        <v>553.62</v>
      </c>
      <c r="I148" s="7">
        <v>6614.22</v>
      </c>
      <c r="J148" s="7">
        <v>3321.72</v>
      </c>
      <c r="K148" s="7">
        <v>3292.5</v>
      </c>
      <c r="L148" t="e">
        <f>IF($E148="Maquillaje",$G148,NA())</f>
        <v>#N/A</v>
      </c>
      <c r="M148" t="e">
        <f>IF($E148="Maquillaje",$H148,NA())</f>
        <v>#N/A</v>
      </c>
      <c r="N148" t="e">
        <f>IF($E148="Perfumería",$G148,NA())</f>
        <v>#N/A</v>
      </c>
      <c r="O148" t="e">
        <f>IF($E148="Perfumería",$H148,NA())</f>
        <v>#N/A</v>
      </c>
      <c r="P148" t="e">
        <f>IF($E148="Cuidado Facial",$G148,NA())</f>
        <v>#N/A</v>
      </c>
      <c r="Q148" t="e">
        <f>IF($E148="Cuidado Facial",$H148,NA())</f>
        <v>#N/A</v>
      </c>
      <c r="R148" s="8">
        <f>IF($E148="Capilar",$G148,NA())</f>
        <v>1102.3699999999999</v>
      </c>
      <c r="S148" s="8">
        <f>IF($E148="Capilar",$H148,NA())</f>
        <v>553.62</v>
      </c>
      <c r="T148" s="6" t="str">
        <f t="shared" si="2"/>
        <v>Enero</v>
      </c>
    </row>
    <row r="149" spans="1:20" ht="15" customHeight="1" x14ac:dyDescent="0.25">
      <c r="A149" s="5">
        <v>46207</v>
      </c>
      <c r="B149" s="6" t="s">
        <v>41</v>
      </c>
      <c r="C149" s="6" t="s">
        <v>35</v>
      </c>
      <c r="D149" s="6" t="s">
        <v>47</v>
      </c>
      <c r="E149" s="6" t="s">
        <v>33</v>
      </c>
      <c r="F149" s="6">
        <v>14</v>
      </c>
      <c r="G149" s="7">
        <v>2995.28</v>
      </c>
      <c r="H149" s="7">
        <v>1686.54</v>
      </c>
      <c r="I149" s="7">
        <v>41933.919999999998</v>
      </c>
      <c r="J149" s="7">
        <v>23611.56</v>
      </c>
      <c r="K149" s="7">
        <v>18322.36</v>
      </c>
      <c r="L149" t="e">
        <f>IF($E149="Maquillaje",$G149,NA())</f>
        <v>#N/A</v>
      </c>
      <c r="M149" t="e">
        <f>IF($E149="Maquillaje",$H149,NA())</f>
        <v>#N/A</v>
      </c>
      <c r="N149" s="8">
        <f>IF($E149="Perfumería",$G149,NA())</f>
        <v>2995.28</v>
      </c>
      <c r="O149" s="8">
        <f>IF($E149="Perfumería",$H149,NA())</f>
        <v>1686.54</v>
      </c>
      <c r="P149" t="e">
        <f>IF($E149="Cuidado Facial",$G149,NA())</f>
        <v>#N/A</v>
      </c>
      <c r="Q149" t="e">
        <f>IF($E149="Cuidado Facial",$H149,NA())</f>
        <v>#N/A</v>
      </c>
      <c r="R149" t="e">
        <f>IF($E149="Capilar",$G149,NA())</f>
        <v>#N/A</v>
      </c>
      <c r="S149" t="e">
        <f>IF($E149="Capilar",$H149,NA())</f>
        <v>#N/A</v>
      </c>
      <c r="T149" s="6" t="str">
        <f t="shared" si="2"/>
        <v>Julio</v>
      </c>
    </row>
    <row r="150" spans="1:20" ht="15" customHeight="1" x14ac:dyDescent="0.25">
      <c r="A150" s="5">
        <v>46067</v>
      </c>
      <c r="B150" s="6" t="s">
        <v>46</v>
      </c>
      <c r="C150" s="6" t="s">
        <v>31</v>
      </c>
      <c r="D150" s="6" t="s">
        <v>47</v>
      </c>
      <c r="E150" s="6" t="s">
        <v>33</v>
      </c>
      <c r="F150" s="6">
        <v>3</v>
      </c>
      <c r="G150" s="7">
        <v>3271.96</v>
      </c>
      <c r="H150" s="7">
        <v>1666.48</v>
      </c>
      <c r="I150" s="7">
        <v>9815.8799999999992</v>
      </c>
      <c r="J150" s="7">
        <v>4999.4399999999996</v>
      </c>
      <c r="K150" s="7">
        <v>4816.4399999999996</v>
      </c>
      <c r="L150" t="e">
        <f>IF($E150="Maquillaje",$G150,NA())</f>
        <v>#N/A</v>
      </c>
      <c r="M150" t="e">
        <f>IF($E150="Maquillaje",$H150,NA())</f>
        <v>#N/A</v>
      </c>
      <c r="N150" s="8">
        <f>IF($E150="Perfumería",$G150,NA())</f>
        <v>3271.96</v>
      </c>
      <c r="O150" s="8">
        <f>IF($E150="Perfumería",$H150,NA())</f>
        <v>1666.48</v>
      </c>
      <c r="P150" t="e">
        <f>IF($E150="Cuidado Facial",$G150,NA())</f>
        <v>#N/A</v>
      </c>
      <c r="Q150" t="e">
        <f>IF($E150="Cuidado Facial",$H150,NA())</f>
        <v>#N/A</v>
      </c>
      <c r="R150" t="e">
        <f>IF($E150="Capilar",$G150,NA())</f>
        <v>#N/A</v>
      </c>
      <c r="S150" t="e">
        <f>IF($E150="Capilar",$H150,NA())</f>
        <v>#N/A</v>
      </c>
      <c r="T150" s="6" t="str">
        <f t="shared" si="2"/>
        <v>Febrero</v>
      </c>
    </row>
    <row r="151" spans="1:20" ht="15" customHeight="1" x14ac:dyDescent="0.25">
      <c r="A151" s="5">
        <v>46267</v>
      </c>
      <c r="B151" s="6" t="s">
        <v>38</v>
      </c>
      <c r="C151" s="6" t="s">
        <v>31</v>
      </c>
      <c r="D151" s="6" t="s">
        <v>47</v>
      </c>
      <c r="E151" s="6" t="s">
        <v>33</v>
      </c>
      <c r="F151" s="6">
        <v>14</v>
      </c>
      <c r="G151" s="7">
        <v>3510.86</v>
      </c>
      <c r="H151" s="7">
        <v>1451.73</v>
      </c>
      <c r="I151" s="7">
        <v>49152.04</v>
      </c>
      <c r="J151" s="7">
        <v>20324.22</v>
      </c>
      <c r="K151" s="7">
        <v>28827.82</v>
      </c>
      <c r="L151" t="e">
        <f>IF($E151="Maquillaje",$G151,NA())</f>
        <v>#N/A</v>
      </c>
      <c r="M151" t="e">
        <f>IF($E151="Maquillaje",$H151,NA())</f>
        <v>#N/A</v>
      </c>
      <c r="N151" s="8">
        <f>IF($E151="Perfumería",$G151,NA())</f>
        <v>3510.86</v>
      </c>
      <c r="O151" s="8">
        <f>IF($E151="Perfumería",$H151,NA())</f>
        <v>1451.73</v>
      </c>
      <c r="P151" t="e">
        <f>IF($E151="Cuidado Facial",$G151,NA())</f>
        <v>#N/A</v>
      </c>
      <c r="Q151" t="e">
        <f>IF($E151="Cuidado Facial",$H151,NA())</f>
        <v>#N/A</v>
      </c>
      <c r="R151" t="e">
        <f>IF($E151="Capilar",$G151,NA())</f>
        <v>#N/A</v>
      </c>
      <c r="S151" t="e">
        <f>IF($E151="Capilar",$H151,NA())</f>
        <v>#N/A</v>
      </c>
      <c r="T151" s="6" t="str">
        <f t="shared" si="2"/>
        <v>Septiembre</v>
      </c>
    </row>
    <row r="152" spans="1:20" ht="15" customHeight="1" x14ac:dyDescent="0.25">
      <c r="A152" s="5">
        <v>46205</v>
      </c>
      <c r="B152" s="6" t="s">
        <v>34</v>
      </c>
      <c r="C152" s="6" t="s">
        <v>35</v>
      </c>
      <c r="D152" s="6" t="s">
        <v>49</v>
      </c>
      <c r="E152" s="6" t="s">
        <v>40</v>
      </c>
      <c r="F152" s="6">
        <v>4</v>
      </c>
      <c r="G152" s="7">
        <v>1913.95</v>
      </c>
      <c r="H152" s="7">
        <v>965.78</v>
      </c>
      <c r="I152" s="7">
        <v>7655.8</v>
      </c>
      <c r="J152" s="7">
        <v>3863.12</v>
      </c>
      <c r="K152" s="7">
        <v>3792.68</v>
      </c>
      <c r="L152" t="e">
        <f>IF($E152="Maquillaje",$G152,NA())</f>
        <v>#N/A</v>
      </c>
      <c r="M152" t="e">
        <f>IF($E152="Maquillaje",$H152,NA())</f>
        <v>#N/A</v>
      </c>
      <c r="N152" t="e">
        <f>IF($E152="Perfumería",$G152,NA())</f>
        <v>#N/A</v>
      </c>
      <c r="O152" t="e">
        <f>IF($E152="Perfumería",$H152,NA())</f>
        <v>#N/A</v>
      </c>
      <c r="P152" s="8">
        <f>IF($E152="Cuidado Facial",$G152,NA())</f>
        <v>1913.95</v>
      </c>
      <c r="Q152" s="8">
        <f>IF($E152="Cuidado Facial",$H152,NA())</f>
        <v>965.78</v>
      </c>
      <c r="R152" t="e">
        <f>IF($E152="Capilar",$G152,NA())</f>
        <v>#N/A</v>
      </c>
      <c r="S152" t="e">
        <f>IF($E152="Capilar",$H152,NA())</f>
        <v>#N/A</v>
      </c>
      <c r="T152" s="6" t="str">
        <f t="shared" si="2"/>
        <v>Julio</v>
      </c>
    </row>
    <row r="153" spans="1:20" ht="15" customHeight="1" x14ac:dyDescent="0.25">
      <c r="A153" s="5">
        <v>46290</v>
      </c>
      <c r="B153" s="6" t="s">
        <v>41</v>
      </c>
      <c r="C153" s="6" t="s">
        <v>35</v>
      </c>
      <c r="D153" s="6" t="s">
        <v>36</v>
      </c>
      <c r="E153" s="6" t="s">
        <v>37</v>
      </c>
      <c r="F153" s="6">
        <v>3</v>
      </c>
      <c r="G153" s="7">
        <v>1318.1</v>
      </c>
      <c r="H153" s="7">
        <v>721.2</v>
      </c>
      <c r="I153" s="7">
        <v>3954.3</v>
      </c>
      <c r="J153" s="7">
        <v>2163.6</v>
      </c>
      <c r="K153" s="7">
        <v>1790.7</v>
      </c>
      <c r="L153" s="8">
        <f>IF($E153="Maquillaje",$G153,NA())</f>
        <v>1318.1</v>
      </c>
      <c r="M153" s="8">
        <f>IF($E153="Maquillaje",$H153,NA())</f>
        <v>721.2</v>
      </c>
      <c r="N153" t="e">
        <f>IF($E153="Perfumería",$G153,NA())</f>
        <v>#N/A</v>
      </c>
      <c r="O153" t="e">
        <f>IF($E153="Perfumería",$H153,NA())</f>
        <v>#N/A</v>
      </c>
      <c r="P153" t="e">
        <f>IF($E153="Cuidado Facial",$G153,NA())</f>
        <v>#N/A</v>
      </c>
      <c r="Q153" t="e">
        <f>IF($E153="Cuidado Facial",$H153,NA())</f>
        <v>#N/A</v>
      </c>
      <c r="R153" t="e">
        <f>IF($E153="Capilar",$G153,NA())</f>
        <v>#N/A</v>
      </c>
      <c r="S153" t="e">
        <f>IF($E153="Capilar",$H153,NA())</f>
        <v>#N/A</v>
      </c>
      <c r="T153" s="6" t="str">
        <f t="shared" si="2"/>
        <v>Septiembre</v>
      </c>
    </row>
    <row r="154" spans="1:20" ht="15" customHeight="1" x14ac:dyDescent="0.25">
      <c r="A154" s="5">
        <v>46085</v>
      </c>
      <c r="B154" s="6" t="s">
        <v>30</v>
      </c>
      <c r="C154" s="6" t="s">
        <v>35</v>
      </c>
      <c r="D154" s="6" t="s">
        <v>32</v>
      </c>
      <c r="E154" s="6" t="s">
        <v>33</v>
      </c>
      <c r="F154" s="6">
        <v>11</v>
      </c>
      <c r="G154" s="7">
        <v>3449.53</v>
      </c>
      <c r="H154" s="7">
        <v>1836.3</v>
      </c>
      <c r="I154" s="7">
        <v>37944.83</v>
      </c>
      <c r="J154" s="7">
        <v>20199.3</v>
      </c>
      <c r="K154" s="7">
        <v>17745.53</v>
      </c>
      <c r="L154" t="e">
        <f>IF($E154="Maquillaje",$G154,NA())</f>
        <v>#N/A</v>
      </c>
      <c r="M154" t="e">
        <f>IF($E154="Maquillaje",$H154,NA())</f>
        <v>#N/A</v>
      </c>
      <c r="N154" s="8">
        <f>IF($E154="Perfumería",$G154,NA())</f>
        <v>3449.53</v>
      </c>
      <c r="O154" s="8">
        <f>IF($E154="Perfumería",$H154,NA())</f>
        <v>1836.3</v>
      </c>
      <c r="P154" t="e">
        <f>IF($E154="Cuidado Facial",$G154,NA())</f>
        <v>#N/A</v>
      </c>
      <c r="Q154" t="e">
        <f>IF($E154="Cuidado Facial",$H154,NA())</f>
        <v>#N/A</v>
      </c>
      <c r="R154" t="e">
        <f>IF($E154="Capilar",$G154,NA())</f>
        <v>#N/A</v>
      </c>
      <c r="S154" t="e">
        <f>IF($E154="Capilar",$H154,NA())</f>
        <v>#N/A</v>
      </c>
      <c r="T154" s="6" t="str">
        <f t="shared" si="2"/>
        <v>Marzo</v>
      </c>
    </row>
    <row r="155" spans="1:20" ht="15" customHeight="1" x14ac:dyDescent="0.25">
      <c r="A155" s="5">
        <v>46222</v>
      </c>
      <c r="B155" s="6" t="s">
        <v>46</v>
      </c>
      <c r="C155" s="6" t="s">
        <v>31</v>
      </c>
      <c r="D155" s="6" t="s">
        <v>44</v>
      </c>
      <c r="E155" s="6" t="s">
        <v>37</v>
      </c>
      <c r="F155" s="6">
        <v>6</v>
      </c>
      <c r="G155" s="7">
        <v>1176.17</v>
      </c>
      <c r="H155" s="7">
        <v>694.01</v>
      </c>
      <c r="I155" s="7">
        <v>7057.02</v>
      </c>
      <c r="J155" s="7">
        <v>4164.0600000000004</v>
      </c>
      <c r="K155" s="7">
        <v>2892.96</v>
      </c>
      <c r="L155" s="8">
        <f>IF($E155="Maquillaje",$G155,NA())</f>
        <v>1176.17</v>
      </c>
      <c r="M155" s="8">
        <f>IF($E155="Maquillaje",$H155,NA())</f>
        <v>694.01</v>
      </c>
      <c r="N155" t="e">
        <f>IF($E155="Perfumería",$G155,NA())</f>
        <v>#N/A</v>
      </c>
      <c r="O155" t="e">
        <f>IF($E155="Perfumería",$H155,NA())</f>
        <v>#N/A</v>
      </c>
      <c r="P155" t="e">
        <f>IF($E155="Cuidado Facial",$G155,NA())</f>
        <v>#N/A</v>
      </c>
      <c r="Q155" t="e">
        <f>IF($E155="Cuidado Facial",$H155,NA())</f>
        <v>#N/A</v>
      </c>
      <c r="R155" t="e">
        <f>IF($E155="Capilar",$G155,NA())</f>
        <v>#N/A</v>
      </c>
      <c r="S155" t="e">
        <f>IF($E155="Capilar",$H155,NA())</f>
        <v>#N/A</v>
      </c>
      <c r="T155" s="6" t="str">
        <f t="shared" si="2"/>
        <v>Julio</v>
      </c>
    </row>
    <row r="156" spans="1:20" ht="15" customHeight="1" x14ac:dyDescent="0.25">
      <c r="A156" s="5">
        <v>46118</v>
      </c>
      <c r="B156" s="6" t="s">
        <v>34</v>
      </c>
      <c r="C156" s="6" t="s">
        <v>35</v>
      </c>
      <c r="D156" s="6" t="s">
        <v>32</v>
      </c>
      <c r="E156" s="6" t="s">
        <v>33</v>
      </c>
      <c r="F156" s="6">
        <v>7</v>
      </c>
      <c r="G156" s="7">
        <v>3719.39</v>
      </c>
      <c r="H156" s="7">
        <v>1846.8</v>
      </c>
      <c r="I156" s="7">
        <v>26035.73</v>
      </c>
      <c r="J156" s="7">
        <v>12927.6</v>
      </c>
      <c r="K156" s="7">
        <v>13108.13</v>
      </c>
      <c r="L156" t="e">
        <f>IF($E156="Maquillaje",$G156,NA())</f>
        <v>#N/A</v>
      </c>
      <c r="M156" t="e">
        <f>IF($E156="Maquillaje",$H156,NA())</f>
        <v>#N/A</v>
      </c>
      <c r="N156" s="8">
        <f>IF($E156="Perfumería",$G156,NA())</f>
        <v>3719.39</v>
      </c>
      <c r="O156" s="8">
        <f>IF($E156="Perfumería",$H156,NA())</f>
        <v>1846.8</v>
      </c>
      <c r="P156" t="e">
        <f>IF($E156="Cuidado Facial",$G156,NA())</f>
        <v>#N/A</v>
      </c>
      <c r="Q156" t="e">
        <f>IF($E156="Cuidado Facial",$H156,NA())</f>
        <v>#N/A</v>
      </c>
      <c r="R156" t="e">
        <f>IF($E156="Capilar",$G156,NA())</f>
        <v>#N/A</v>
      </c>
      <c r="S156" t="e">
        <f>IF($E156="Capilar",$H156,NA())</f>
        <v>#N/A</v>
      </c>
      <c r="T156" s="6" t="str">
        <f t="shared" si="2"/>
        <v>Abril</v>
      </c>
    </row>
    <row r="157" spans="1:20" ht="15" customHeight="1" x14ac:dyDescent="0.25">
      <c r="A157" s="5">
        <v>46043</v>
      </c>
      <c r="B157" s="6" t="s">
        <v>46</v>
      </c>
      <c r="C157" s="6" t="s">
        <v>31</v>
      </c>
      <c r="D157" s="6" t="s">
        <v>44</v>
      </c>
      <c r="E157" s="6" t="s">
        <v>37</v>
      </c>
      <c r="F157" s="6">
        <v>2</v>
      </c>
      <c r="G157" s="7">
        <v>1140.1400000000001</v>
      </c>
      <c r="H157" s="7">
        <v>652.64</v>
      </c>
      <c r="I157" s="7">
        <v>2280.2800000000002</v>
      </c>
      <c r="J157" s="7">
        <v>1305.28</v>
      </c>
      <c r="K157" s="7">
        <v>975</v>
      </c>
      <c r="L157" s="8">
        <f>IF($E157="Maquillaje",$G157,NA())</f>
        <v>1140.1400000000001</v>
      </c>
      <c r="M157" s="8">
        <f>IF($E157="Maquillaje",$H157,NA())</f>
        <v>652.64</v>
      </c>
      <c r="N157" t="e">
        <f>IF($E157="Perfumería",$G157,NA())</f>
        <v>#N/A</v>
      </c>
      <c r="O157" t="e">
        <f>IF($E157="Perfumería",$H157,NA())</f>
        <v>#N/A</v>
      </c>
      <c r="P157" t="e">
        <f>IF($E157="Cuidado Facial",$G157,NA())</f>
        <v>#N/A</v>
      </c>
      <c r="Q157" t="e">
        <f>IF($E157="Cuidado Facial",$H157,NA())</f>
        <v>#N/A</v>
      </c>
      <c r="R157" t="e">
        <f>IF($E157="Capilar",$G157,NA())</f>
        <v>#N/A</v>
      </c>
      <c r="S157" t="e">
        <f>IF($E157="Capilar",$H157,NA())</f>
        <v>#N/A</v>
      </c>
      <c r="T157" s="6" t="str">
        <f t="shared" si="2"/>
        <v>Enero</v>
      </c>
    </row>
    <row r="158" spans="1:20" ht="15" customHeight="1" x14ac:dyDescent="0.25">
      <c r="A158" s="5">
        <v>46179</v>
      </c>
      <c r="B158" s="6" t="s">
        <v>30</v>
      </c>
      <c r="C158" s="6" t="s">
        <v>48</v>
      </c>
      <c r="D158" s="6" t="s">
        <v>39</v>
      </c>
      <c r="E158" s="6" t="s">
        <v>40</v>
      </c>
      <c r="F158" s="6">
        <v>8</v>
      </c>
      <c r="G158" s="7">
        <v>2137.9</v>
      </c>
      <c r="H158" s="7">
        <v>1140.7</v>
      </c>
      <c r="I158" s="7">
        <v>17103.2</v>
      </c>
      <c r="J158" s="7">
        <v>9125.6</v>
      </c>
      <c r="K158" s="7">
        <v>7977.6</v>
      </c>
      <c r="L158" t="e">
        <f>IF($E158="Maquillaje",$G158,NA())</f>
        <v>#N/A</v>
      </c>
      <c r="M158" t="e">
        <f>IF($E158="Maquillaje",$H158,NA())</f>
        <v>#N/A</v>
      </c>
      <c r="N158" t="e">
        <f>IF($E158="Perfumería",$G158,NA())</f>
        <v>#N/A</v>
      </c>
      <c r="O158" t="e">
        <f>IF($E158="Perfumería",$H158,NA())</f>
        <v>#N/A</v>
      </c>
      <c r="P158" s="8">
        <f>IF($E158="Cuidado Facial",$G158,NA())</f>
        <v>2137.9</v>
      </c>
      <c r="Q158" s="8">
        <f>IF($E158="Cuidado Facial",$H158,NA())</f>
        <v>1140.7</v>
      </c>
      <c r="R158" t="e">
        <f>IF($E158="Capilar",$G158,NA())</f>
        <v>#N/A</v>
      </c>
      <c r="S158" t="e">
        <f>IF($E158="Capilar",$H158,NA())</f>
        <v>#N/A</v>
      </c>
      <c r="T158" s="6" t="str">
        <f t="shared" si="2"/>
        <v>Junio</v>
      </c>
    </row>
    <row r="159" spans="1:20" ht="15" customHeight="1" x14ac:dyDescent="0.25">
      <c r="A159" s="5">
        <v>46231</v>
      </c>
      <c r="B159" s="6" t="s">
        <v>34</v>
      </c>
      <c r="C159" s="6" t="s">
        <v>35</v>
      </c>
      <c r="D159" s="6" t="s">
        <v>39</v>
      </c>
      <c r="E159" s="6" t="s">
        <v>40</v>
      </c>
      <c r="F159" s="6">
        <v>10</v>
      </c>
      <c r="G159" s="7">
        <v>2181.83</v>
      </c>
      <c r="H159" s="7">
        <v>991.54</v>
      </c>
      <c r="I159" s="7">
        <v>21818.3</v>
      </c>
      <c r="J159" s="7">
        <v>9915.4</v>
      </c>
      <c r="K159" s="7">
        <v>11902.9</v>
      </c>
      <c r="L159" t="e">
        <f>IF($E159="Maquillaje",$G159,NA())</f>
        <v>#N/A</v>
      </c>
      <c r="M159" t="e">
        <f>IF($E159="Maquillaje",$H159,NA())</f>
        <v>#N/A</v>
      </c>
      <c r="N159" t="e">
        <f>IF($E159="Perfumería",$G159,NA())</f>
        <v>#N/A</v>
      </c>
      <c r="O159" t="e">
        <f>IF($E159="Perfumería",$H159,NA())</f>
        <v>#N/A</v>
      </c>
      <c r="P159" s="8">
        <f>IF($E159="Cuidado Facial",$G159,NA())</f>
        <v>2181.83</v>
      </c>
      <c r="Q159" s="8">
        <f>IF($E159="Cuidado Facial",$H159,NA())</f>
        <v>991.54</v>
      </c>
      <c r="R159" t="e">
        <f>IF($E159="Capilar",$G159,NA())</f>
        <v>#N/A</v>
      </c>
      <c r="S159" t="e">
        <f>IF($E159="Capilar",$H159,NA())</f>
        <v>#N/A</v>
      </c>
      <c r="T159" s="6" t="str">
        <f t="shared" si="2"/>
        <v>Julio</v>
      </c>
    </row>
    <row r="160" spans="1:20" ht="15" customHeight="1" x14ac:dyDescent="0.25">
      <c r="A160" s="5">
        <v>46333</v>
      </c>
      <c r="B160" s="6" t="s">
        <v>41</v>
      </c>
      <c r="C160" s="6" t="s">
        <v>35</v>
      </c>
      <c r="D160" s="6" t="s">
        <v>45</v>
      </c>
      <c r="E160" s="6" t="s">
        <v>43</v>
      </c>
      <c r="F160" s="6">
        <v>12</v>
      </c>
      <c r="G160" s="7">
        <v>1157.83</v>
      </c>
      <c r="H160" s="7">
        <v>562.34</v>
      </c>
      <c r="I160" s="7">
        <v>13893.96</v>
      </c>
      <c r="J160" s="7">
        <v>6748.08</v>
      </c>
      <c r="K160" s="7">
        <v>7145.88</v>
      </c>
      <c r="L160" t="e">
        <f>IF($E160="Maquillaje",$G160,NA())</f>
        <v>#N/A</v>
      </c>
      <c r="M160" t="e">
        <f>IF($E160="Maquillaje",$H160,NA())</f>
        <v>#N/A</v>
      </c>
      <c r="N160" t="e">
        <f>IF($E160="Perfumería",$G160,NA())</f>
        <v>#N/A</v>
      </c>
      <c r="O160" t="e">
        <f>IF($E160="Perfumería",$H160,NA())</f>
        <v>#N/A</v>
      </c>
      <c r="P160" t="e">
        <f>IF($E160="Cuidado Facial",$G160,NA())</f>
        <v>#N/A</v>
      </c>
      <c r="Q160" t="e">
        <f>IF($E160="Cuidado Facial",$H160,NA())</f>
        <v>#N/A</v>
      </c>
      <c r="R160" s="8">
        <f>IF($E160="Capilar",$G160,NA())</f>
        <v>1157.83</v>
      </c>
      <c r="S160" s="8">
        <f>IF($E160="Capilar",$H160,NA())</f>
        <v>562.34</v>
      </c>
      <c r="T160" s="6" t="str">
        <f t="shared" si="2"/>
        <v>Noviembre</v>
      </c>
    </row>
    <row r="161" spans="1:20" ht="15" customHeight="1" x14ac:dyDescent="0.25">
      <c r="A161" s="5">
        <v>46236</v>
      </c>
      <c r="B161" s="6" t="s">
        <v>34</v>
      </c>
      <c r="C161" s="6" t="s">
        <v>35</v>
      </c>
      <c r="D161" s="6" t="s">
        <v>39</v>
      </c>
      <c r="E161" s="6" t="s">
        <v>40</v>
      </c>
      <c r="F161" s="6">
        <v>2</v>
      </c>
      <c r="G161" s="7">
        <v>2200.2800000000002</v>
      </c>
      <c r="H161" s="7">
        <v>1101.0899999999999</v>
      </c>
      <c r="I161" s="7">
        <v>4400.5600000000004</v>
      </c>
      <c r="J161" s="7">
        <v>2202.1799999999998</v>
      </c>
      <c r="K161" s="7">
        <v>2198.38</v>
      </c>
      <c r="L161" t="e">
        <f>IF($E161="Maquillaje",$G161,NA())</f>
        <v>#N/A</v>
      </c>
      <c r="M161" t="e">
        <f>IF($E161="Maquillaje",$H161,NA())</f>
        <v>#N/A</v>
      </c>
      <c r="N161" t="e">
        <f>IF($E161="Perfumería",$G161,NA())</f>
        <v>#N/A</v>
      </c>
      <c r="O161" t="e">
        <f>IF($E161="Perfumería",$H161,NA())</f>
        <v>#N/A</v>
      </c>
      <c r="P161" s="8">
        <f>IF($E161="Cuidado Facial",$G161,NA())</f>
        <v>2200.2800000000002</v>
      </c>
      <c r="Q161" s="8">
        <f>IF($E161="Cuidado Facial",$H161,NA())</f>
        <v>1101.0899999999999</v>
      </c>
      <c r="R161" t="e">
        <f>IF($E161="Capilar",$G161,NA())</f>
        <v>#N/A</v>
      </c>
      <c r="S161" t="e">
        <f>IF($E161="Capilar",$H161,NA())</f>
        <v>#N/A</v>
      </c>
      <c r="T161" s="6" t="str">
        <f t="shared" si="2"/>
        <v>Agosto</v>
      </c>
    </row>
    <row r="162" spans="1:20" ht="15" customHeight="1" x14ac:dyDescent="0.25">
      <c r="A162" s="5">
        <v>46385</v>
      </c>
      <c r="B162" s="6" t="s">
        <v>46</v>
      </c>
      <c r="C162" s="6" t="s">
        <v>31</v>
      </c>
      <c r="D162" s="6" t="s">
        <v>36</v>
      </c>
      <c r="E162" s="6" t="s">
        <v>37</v>
      </c>
      <c r="F162" s="6">
        <v>7</v>
      </c>
      <c r="G162" s="7">
        <v>1527.05</v>
      </c>
      <c r="H162" s="7">
        <v>793.39</v>
      </c>
      <c r="I162" s="7">
        <v>10689.35</v>
      </c>
      <c r="J162" s="7">
        <v>5553.73</v>
      </c>
      <c r="K162" s="7">
        <v>5135.62</v>
      </c>
      <c r="L162" s="8">
        <f>IF($E162="Maquillaje",$G162,NA())</f>
        <v>1527.05</v>
      </c>
      <c r="M162" s="8">
        <f>IF($E162="Maquillaje",$H162,NA())</f>
        <v>793.39</v>
      </c>
      <c r="N162" t="e">
        <f>IF($E162="Perfumería",$G162,NA())</f>
        <v>#N/A</v>
      </c>
      <c r="O162" t="e">
        <f>IF($E162="Perfumería",$H162,NA())</f>
        <v>#N/A</v>
      </c>
      <c r="P162" t="e">
        <f>IF($E162="Cuidado Facial",$G162,NA())</f>
        <v>#N/A</v>
      </c>
      <c r="Q162" t="e">
        <f>IF($E162="Cuidado Facial",$H162,NA())</f>
        <v>#N/A</v>
      </c>
      <c r="R162" t="e">
        <f>IF($E162="Capilar",$G162,NA())</f>
        <v>#N/A</v>
      </c>
      <c r="S162" t="e">
        <f>IF($E162="Capilar",$H162,NA())</f>
        <v>#N/A</v>
      </c>
      <c r="T162" s="6" t="str">
        <f t="shared" si="2"/>
        <v>Diciembre</v>
      </c>
    </row>
    <row r="163" spans="1:20" ht="15" customHeight="1" x14ac:dyDescent="0.25">
      <c r="A163" s="5">
        <v>46236</v>
      </c>
      <c r="B163" s="6" t="s">
        <v>41</v>
      </c>
      <c r="C163" s="6" t="s">
        <v>35</v>
      </c>
      <c r="D163" s="6" t="s">
        <v>45</v>
      </c>
      <c r="E163" s="6" t="s">
        <v>43</v>
      </c>
      <c r="F163" s="6">
        <v>8</v>
      </c>
      <c r="G163" s="7">
        <v>1053.3699999999999</v>
      </c>
      <c r="H163" s="7">
        <v>543.49</v>
      </c>
      <c r="I163" s="7">
        <v>8426.9599999999991</v>
      </c>
      <c r="J163" s="7">
        <v>4347.92</v>
      </c>
      <c r="K163" s="7">
        <v>4079.04</v>
      </c>
      <c r="L163" t="e">
        <f>IF($E163="Maquillaje",$G163,NA())</f>
        <v>#N/A</v>
      </c>
      <c r="M163" t="e">
        <f>IF($E163="Maquillaje",$H163,NA())</f>
        <v>#N/A</v>
      </c>
      <c r="N163" t="e">
        <f>IF($E163="Perfumería",$G163,NA())</f>
        <v>#N/A</v>
      </c>
      <c r="O163" t="e">
        <f>IF($E163="Perfumería",$H163,NA())</f>
        <v>#N/A</v>
      </c>
      <c r="P163" t="e">
        <f>IF($E163="Cuidado Facial",$G163,NA())</f>
        <v>#N/A</v>
      </c>
      <c r="Q163" t="e">
        <f>IF($E163="Cuidado Facial",$H163,NA())</f>
        <v>#N/A</v>
      </c>
      <c r="R163" s="8">
        <f>IF($E163="Capilar",$G163,NA())</f>
        <v>1053.3699999999999</v>
      </c>
      <c r="S163" s="8">
        <f>IF($E163="Capilar",$H163,NA())</f>
        <v>543.49</v>
      </c>
      <c r="T163" s="6" t="str">
        <f t="shared" si="2"/>
        <v>Agosto</v>
      </c>
    </row>
    <row r="164" spans="1:20" ht="15" customHeight="1" x14ac:dyDescent="0.25">
      <c r="A164" s="5">
        <v>46354</v>
      </c>
      <c r="B164" s="6" t="s">
        <v>46</v>
      </c>
      <c r="C164" s="6" t="s">
        <v>31</v>
      </c>
      <c r="D164" s="6" t="s">
        <v>45</v>
      </c>
      <c r="E164" s="6" t="s">
        <v>43</v>
      </c>
      <c r="F164" s="6">
        <v>3</v>
      </c>
      <c r="G164" s="7">
        <v>1108.1099999999999</v>
      </c>
      <c r="H164" s="7">
        <v>593.92999999999995</v>
      </c>
      <c r="I164" s="7">
        <v>3324.33</v>
      </c>
      <c r="J164" s="7">
        <v>1781.79</v>
      </c>
      <c r="K164" s="7">
        <v>1542.54</v>
      </c>
      <c r="L164" t="e">
        <f>IF($E164="Maquillaje",$G164,NA())</f>
        <v>#N/A</v>
      </c>
      <c r="M164" t="e">
        <f>IF($E164="Maquillaje",$H164,NA())</f>
        <v>#N/A</v>
      </c>
      <c r="N164" t="e">
        <f>IF($E164="Perfumería",$G164,NA())</f>
        <v>#N/A</v>
      </c>
      <c r="O164" t="e">
        <f>IF($E164="Perfumería",$H164,NA())</f>
        <v>#N/A</v>
      </c>
      <c r="P164" t="e">
        <f>IF($E164="Cuidado Facial",$G164,NA())</f>
        <v>#N/A</v>
      </c>
      <c r="Q164" t="e">
        <f>IF($E164="Cuidado Facial",$H164,NA())</f>
        <v>#N/A</v>
      </c>
      <c r="R164" s="8">
        <f>IF($E164="Capilar",$G164,NA())</f>
        <v>1108.1099999999999</v>
      </c>
      <c r="S164" s="8">
        <f>IF($E164="Capilar",$H164,NA())</f>
        <v>593.92999999999995</v>
      </c>
      <c r="T164" s="6" t="str">
        <f t="shared" si="2"/>
        <v>Noviembre</v>
      </c>
    </row>
    <row r="165" spans="1:20" ht="15" customHeight="1" x14ac:dyDescent="0.25">
      <c r="A165" s="5">
        <v>46140</v>
      </c>
      <c r="B165" s="6" t="s">
        <v>34</v>
      </c>
      <c r="C165" s="6" t="s">
        <v>35</v>
      </c>
      <c r="D165" s="6" t="s">
        <v>32</v>
      </c>
      <c r="E165" s="6" t="s">
        <v>33</v>
      </c>
      <c r="F165" s="6">
        <v>8</v>
      </c>
      <c r="G165" s="7">
        <v>3333.12</v>
      </c>
      <c r="H165" s="7">
        <v>1843.56</v>
      </c>
      <c r="I165" s="7">
        <v>26664.959999999999</v>
      </c>
      <c r="J165" s="7">
        <v>14748.48</v>
      </c>
      <c r="K165" s="7">
        <v>11916.48</v>
      </c>
      <c r="L165" t="e">
        <f>IF($E165="Maquillaje",$G165,NA())</f>
        <v>#N/A</v>
      </c>
      <c r="M165" t="e">
        <f>IF($E165="Maquillaje",$H165,NA())</f>
        <v>#N/A</v>
      </c>
      <c r="N165">
        <f>IF($E165="Perfumería",$G165,NA())</f>
        <v>3333.12</v>
      </c>
      <c r="O165">
        <f>IF($E165="Perfumería",$H165,NA())</f>
        <v>1843.56</v>
      </c>
      <c r="P165" t="e">
        <f>IF($E165="Cuidado Facial",$G165,NA())</f>
        <v>#N/A</v>
      </c>
      <c r="Q165" t="e">
        <f>IF($E165="Cuidado Facial",$H165,NA())</f>
        <v>#N/A</v>
      </c>
      <c r="R165" t="e">
        <f>IF($E165="Capilar",$G165,NA())</f>
        <v>#N/A</v>
      </c>
      <c r="S165" t="e">
        <f>IF($E165="Capilar",$H165,NA())</f>
        <v>#N/A</v>
      </c>
      <c r="T165" s="6" t="str">
        <f t="shared" si="2"/>
        <v>Abril</v>
      </c>
    </row>
    <row r="166" spans="1:20" ht="15" customHeight="1" x14ac:dyDescent="0.25">
      <c r="A166" s="5">
        <v>46070</v>
      </c>
      <c r="B166" s="6" t="s">
        <v>34</v>
      </c>
      <c r="C166" s="6" t="s">
        <v>35</v>
      </c>
      <c r="D166" s="6" t="s">
        <v>39</v>
      </c>
      <c r="E166" s="6" t="s">
        <v>40</v>
      </c>
      <c r="F166" s="6">
        <v>3</v>
      </c>
      <c r="G166" s="7">
        <v>1936.41</v>
      </c>
      <c r="H166" s="7">
        <v>1132.8499999999999</v>
      </c>
      <c r="I166" s="7">
        <v>5809.23</v>
      </c>
      <c r="J166" s="7">
        <v>3398.55</v>
      </c>
      <c r="K166" s="7">
        <v>2410.6799999999998</v>
      </c>
      <c r="L166" t="e">
        <f>IF($E166="Maquillaje",$G166,NA())</f>
        <v>#N/A</v>
      </c>
      <c r="M166" t="e">
        <f>IF($E166="Maquillaje",$H166,NA())</f>
        <v>#N/A</v>
      </c>
      <c r="N166" t="e">
        <f>IF($E166="Perfumería",$G166,NA())</f>
        <v>#N/A</v>
      </c>
      <c r="O166" t="e">
        <f>IF($E166="Perfumería",$H166,NA())</f>
        <v>#N/A</v>
      </c>
      <c r="P166" s="8">
        <f>IF($E166="Cuidado Facial",$G166,NA())</f>
        <v>1936.41</v>
      </c>
      <c r="Q166" s="8">
        <f>IF($E166="Cuidado Facial",$H166,NA())</f>
        <v>1132.8499999999999</v>
      </c>
      <c r="R166" t="e">
        <f>IF($E166="Capilar",$G166,NA())</f>
        <v>#N/A</v>
      </c>
      <c r="S166" t="e">
        <f>IF($E166="Capilar",$H166,NA())</f>
        <v>#N/A</v>
      </c>
      <c r="T166" s="6" t="str">
        <f t="shared" si="2"/>
        <v>Febrero</v>
      </c>
    </row>
    <row r="167" spans="1:20" ht="15" customHeight="1" x14ac:dyDescent="0.25">
      <c r="A167" s="5">
        <v>46238</v>
      </c>
      <c r="B167" s="6" t="s">
        <v>38</v>
      </c>
      <c r="C167" s="6" t="s">
        <v>31</v>
      </c>
      <c r="D167" s="6" t="s">
        <v>32</v>
      </c>
      <c r="E167" s="6" t="s">
        <v>33</v>
      </c>
      <c r="F167" s="6">
        <v>3</v>
      </c>
      <c r="G167" s="7">
        <v>3100.92</v>
      </c>
      <c r="H167" s="7">
        <v>1772.73</v>
      </c>
      <c r="I167" s="7">
        <v>9302.76</v>
      </c>
      <c r="J167" s="7">
        <v>5318.19</v>
      </c>
      <c r="K167" s="7">
        <v>3984.57</v>
      </c>
      <c r="L167" t="e">
        <f>IF($E167="Maquillaje",$G167,NA())</f>
        <v>#N/A</v>
      </c>
      <c r="M167" t="e">
        <f>IF($E167="Maquillaje",$H167,NA())</f>
        <v>#N/A</v>
      </c>
      <c r="N167">
        <f>IF($E167="Perfumería",$G167,NA())</f>
        <v>3100.92</v>
      </c>
      <c r="O167">
        <f>IF($E167="Perfumería",$H167,NA())</f>
        <v>1772.73</v>
      </c>
      <c r="P167" t="e">
        <f>IF($E167="Cuidado Facial",$G167,NA())</f>
        <v>#N/A</v>
      </c>
      <c r="Q167" t="e">
        <f>IF($E167="Cuidado Facial",$H167,NA())</f>
        <v>#N/A</v>
      </c>
      <c r="R167" t="e">
        <f>IF($E167="Capilar",$G167,NA())</f>
        <v>#N/A</v>
      </c>
      <c r="S167" t="e">
        <f>IF($E167="Capilar",$H167,NA())</f>
        <v>#N/A</v>
      </c>
      <c r="T167" s="6" t="str">
        <f t="shared" si="2"/>
        <v>Agosto</v>
      </c>
    </row>
    <row r="168" spans="1:20" ht="15" customHeight="1" x14ac:dyDescent="0.25">
      <c r="A168" s="5">
        <v>46038</v>
      </c>
      <c r="B168" s="6" t="s">
        <v>34</v>
      </c>
      <c r="C168" s="6" t="s">
        <v>35</v>
      </c>
      <c r="D168" s="6" t="s">
        <v>32</v>
      </c>
      <c r="E168" s="6" t="s">
        <v>33</v>
      </c>
      <c r="F168" s="6">
        <v>10</v>
      </c>
      <c r="G168" s="7">
        <v>3142.62</v>
      </c>
      <c r="H168" s="7">
        <v>1629.87</v>
      </c>
      <c r="I168" s="7">
        <v>31426.2</v>
      </c>
      <c r="J168" s="7">
        <v>16298.7</v>
      </c>
      <c r="K168" s="7">
        <v>15127.5</v>
      </c>
      <c r="L168" t="e">
        <f>IF($E168="Maquillaje",$G168,NA())</f>
        <v>#N/A</v>
      </c>
      <c r="M168" t="e">
        <f>IF($E168="Maquillaje",$H168,NA())</f>
        <v>#N/A</v>
      </c>
      <c r="N168">
        <f>IF($E168="Perfumería",$G168,NA())</f>
        <v>3142.62</v>
      </c>
      <c r="O168">
        <f>IF($E168="Perfumería",$H168,NA())</f>
        <v>1629.87</v>
      </c>
      <c r="P168" t="e">
        <f>IF($E168="Cuidado Facial",$G168,NA())</f>
        <v>#N/A</v>
      </c>
      <c r="Q168" t="e">
        <f>IF($E168="Cuidado Facial",$H168,NA())</f>
        <v>#N/A</v>
      </c>
      <c r="R168" t="e">
        <f>IF($E168="Capilar",$G168,NA())</f>
        <v>#N/A</v>
      </c>
      <c r="S168" t="e">
        <f>IF($E168="Capilar",$H168,NA())</f>
        <v>#N/A</v>
      </c>
      <c r="T168" s="6" t="str">
        <f t="shared" si="2"/>
        <v>Enero</v>
      </c>
    </row>
    <row r="169" spans="1:20" ht="15" customHeight="1" x14ac:dyDescent="0.25">
      <c r="A169" s="5">
        <v>46110</v>
      </c>
      <c r="B169" s="6" t="s">
        <v>41</v>
      </c>
      <c r="C169" s="6" t="s">
        <v>35</v>
      </c>
      <c r="D169" s="6" t="s">
        <v>44</v>
      </c>
      <c r="E169" s="6" t="s">
        <v>37</v>
      </c>
      <c r="F169" s="6">
        <v>1</v>
      </c>
      <c r="G169" s="7">
        <v>1244.3</v>
      </c>
      <c r="H169" s="7">
        <v>660.25</v>
      </c>
      <c r="I169" s="7">
        <v>1244.3</v>
      </c>
      <c r="J169" s="7">
        <v>660.25</v>
      </c>
      <c r="K169" s="7">
        <v>584.04999999999995</v>
      </c>
      <c r="L169" s="8">
        <f>IF($E169="Maquillaje",$G169,NA())</f>
        <v>1244.3</v>
      </c>
      <c r="M169" s="8">
        <f>IF($E169="Maquillaje",$H169,NA())</f>
        <v>660.25</v>
      </c>
      <c r="N169" t="e">
        <f>IF($E169="Perfumería",$G169,NA())</f>
        <v>#N/A</v>
      </c>
      <c r="O169" t="e">
        <f>IF($E169="Perfumería",$H169,NA())</f>
        <v>#N/A</v>
      </c>
      <c r="P169" t="e">
        <f>IF($E169="Cuidado Facial",$G169,NA())</f>
        <v>#N/A</v>
      </c>
      <c r="Q169" t="e">
        <f>IF($E169="Cuidado Facial",$H169,NA())</f>
        <v>#N/A</v>
      </c>
      <c r="R169" t="e">
        <f>IF($E169="Capilar",$G169,NA())</f>
        <v>#N/A</v>
      </c>
      <c r="S169" t="e">
        <f>IF($E169="Capilar",$H169,NA())</f>
        <v>#N/A</v>
      </c>
      <c r="T169" s="6" t="str">
        <f t="shared" si="2"/>
        <v>Marzo</v>
      </c>
    </row>
    <row r="170" spans="1:20" ht="15" customHeight="1" x14ac:dyDescent="0.25">
      <c r="A170" s="5">
        <v>46039</v>
      </c>
      <c r="B170" s="6" t="s">
        <v>30</v>
      </c>
      <c r="C170" s="6" t="s">
        <v>31</v>
      </c>
      <c r="D170" s="6" t="s">
        <v>49</v>
      </c>
      <c r="E170" s="6" t="s">
        <v>40</v>
      </c>
      <c r="F170" s="6">
        <v>8</v>
      </c>
      <c r="G170" s="7">
        <v>1844.64</v>
      </c>
      <c r="H170" s="7">
        <v>813.52</v>
      </c>
      <c r="I170" s="7">
        <v>14757.12</v>
      </c>
      <c r="J170" s="7">
        <v>6508.16</v>
      </c>
      <c r="K170" s="7">
        <v>8248.9599999999991</v>
      </c>
      <c r="L170" t="e">
        <f>IF($E170="Maquillaje",$G170,NA())</f>
        <v>#N/A</v>
      </c>
      <c r="M170" t="e">
        <f>IF($E170="Maquillaje",$H170,NA())</f>
        <v>#N/A</v>
      </c>
      <c r="N170" t="e">
        <f>IF($E170="Perfumería",$G170,NA())</f>
        <v>#N/A</v>
      </c>
      <c r="O170" t="e">
        <f>IF($E170="Perfumería",$H170,NA())</f>
        <v>#N/A</v>
      </c>
      <c r="P170" s="8">
        <f>IF($E170="Cuidado Facial",$G170,NA())</f>
        <v>1844.64</v>
      </c>
      <c r="Q170" s="8">
        <f>IF($E170="Cuidado Facial",$H170,NA())</f>
        <v>813.52</v>
      </c>
      <c r="R170" t="e">
        <f>IF($E170="Capilar",$G170,NA())</f>
        <v>#N/A</v>
      </c>
      <c r="S170" t="e">
        <f>IF($E170="Capilar",$H170,NA())</f>
        <v>#N/A</v>
      </c>
      <c r="T170" s="6" t="str">
        <f t="shared" si="2"/>
        <v>Enero</v>
      </c>
    </row>
    <row r="171" spans="1:20" ht="15" customHeight="1" x14ac:dyDescent="0.25">
      <c r="A171" s="5">
        <v>46045</v>
      </c>
      <c r="B171" s="6" t="s">
        <v>38</v>
      </c>
      <c r="C171" s="6" t="s">
        <v>31</v>
      </c>
      <c r="D171" s="6" t="s">
        <v>32</v>
      </c>
      <c r="E171" s="6" t="s">
        <v>33</v>
      </c>
      <c r="F171" s="6">
        <v>3</v>
      </c>
      <c r="G171" s="7">
        <v>3692.96</v>
      </c>
      <c r="H171" s="7">
        <v>1874.15</v>
      </c>
      <c r="I171" s="7">
        <v>11078.88</v>
      </c>
      <c r="J171" s="7">
        <v>5622.45</v>
      </c>
      <c r="K171" s="7">
        <v>5456.43</v>
      </c>
      <c r="L171" t="e">
        <f>IF($E171="Maquillaje",$G171,NA())</f>
        <v>#N/A</v>
      </c>
      <c r="M171" t="e">
        <f>IF($E171="Maquillaje",$H171,NA())</f>
        <v>#N/A</v>
      </c>
      <c r="N171" s="8">
        <f>IF($E171="Perfumería",$G171,NA())</f>
        <v>3692.96</v>
      </c>
      <c r="O171" s="8">
        <f>IF($E171="Perfumería",$H171,NA())</f>
        <v>1874.15</v>
      </c>
      <c r="P171" t="e">
        <f>IF($E171="Cuidado Facial",$G171,NA())</f>
        <v>#N/A</v>
      </c>
      <c r="Q171" t="e">
        <f>IF($E171="Cuidado Facial",$H171,NA())</f>
        <v>#N/A</v>
      </c>
      <c r="R171" t="e">
        <f>IF($E171="Capilar",$G171,NA())</f>
        <v>#N/A</v>
      </c>
      <c r="S171" t="e">
        <f>IF($E171="Capilar",$H171,NA())</f>
        <v>#N/A</v>
      </c>
      <c r="T171" s="6" t="str">
        <f t="shared" si="2"/>
        <v>Enero</v>
      </c>
    </row>
    <row r="172" spans="1:20" ht="15" customHeight="1" x14ac:dyDescent="0.25">
      <c r="A172" s="5">
        <v>46178</v>
      </c>
      <c r="B172" s="6" t="s">
        <v>34</v>
      </c>
      <c r="C172" s="6" t="s">
        <v>35</v>
      </c>
      <c r="D172" s="6" t="s">
        <v>32</v>
      </c>
      <c r="E172" s="6" t="s">
        <v>33</v>
      </c>
      <c r="F172" s="6">
        <v>7</v>
      </c>
      <c r="G172" s="7">
        <v>3518.94</v>
      </c>
      <c r="H172" s="7">
        <v>1779.69</v>
      </c>
      <c r="I172" s="7">
        <v>24632.58</v>
      </c>
      <c r="J172" s="7">
        <v>12457.83</v>
      </c>
      <c r="K172" s="7">
        <v>12174.75</v>
      </c>
      <c r="L172" t="e">
        <f>IF($E172="Maquillaje",$G172,NA())</f>
        <v>#N/A</v>
      </c>
      <c r="M172" t="e">
        <f>IF($E172="Maquillaje",$H172,NA())</f>
        <v>#N/A</v>
      </c>
      <c r="N172" s="8">
        <f>IF($E172="Perfumería",$G172,NA())</f>
        <v>3518.94</v>
      </c>
      <c r="O172" s="8">
        <f>IF($E172="Perfumería",$H172,NA())</f>
        <v>1779.69</v>
      </c>
      <c r="P172" t="e">
        <f>IF($E172="Cuidado Facial",$G172,NA())</f>
        <v>#N/A</v>
      </c>
      <c r="Q172" t="e">
        <f>IF($E172="Cuidado Facial",$H172,NA())</f>
        <v>#N/A</v>
      </c>
      <c r="R172" t="e">
        <f>IF($E172="Capilar",$G172,NA())</f>
        <v>#N/A</v>
      </c>
      <c r="S172" t="e">
        <f>IF($E172="Capilar",$H172,NA())</f>
        <v>#N/A</v>
      </c>
      <c r="T172" s="6" t="str">
        <f t="shared" si="2"/>
        <v>Junio</v>
      </c>
    </row>
    <row r="173" spans="1:20" ht="15" customHeight="1" x14ac:dyDescent="0.25">
      <c r="A173" s="5">
        <v>46034</v>
      </c>
      <c r="B173" s="6" t="s">
        <v>30</v>
      </c>
      <c r="C173" s="6" t="s">
        <v>48</v>
      </c>
      <c r="D173" s="6" t="s">
        <v>47</v>
      </c>
      <c r="E173" s="6" t="s">
        <v>33</v>
      </c>
      <c r="F173" s="6">
        <v>7</v>
      </c>
      <c r="G173" s="7">
        <v>2999.39</v>
      </c>
      <c r="H173" s="7">
        <v>1750.9</v>
      </c>
      <c r="I173" s="7">
        <v>20995.73</v>
      </c>
      <c r="J173" s="7">
        <v>12256.3</v>
      </c>
      <c r="K173" s="7">
        <v>8739.43</v>
      </c>
      <c r="L173" t="e">
        <f>IF($E173="Maquillaje",$G173,NA())</f>
        <v>#N/A</v>
      </c>
      <c r="M173" t="e">
        <f>IF($E173="Maquillaje",$H173,NA())</f>
        <v>#N/A</v>
      </c>
      <c r="N173">
        <f>IF($E173="Perfumería",$G173,NA())</f>
        <v>2999.39</v>
      </c>
      <c r="O173">
        <f>IF($E173="Perfumería",$H173,NA())</f>
        <v>1750.9</v>
      </c>
      <c r="P173" t="e">
        <f>IF($E173="Cuidado Facial",$G173,NA())</f>
        <v>#N/A</v>
      </c>
      <c r="Q173" t="e">
        <f>IF($E173="Cuidado Facial",$H173,NA())</f>
        <v>#N/A</v>
      </c>
      <c r="R173" t="e">
        <f>IF($E173="Capilar",$G173,NA())</f>
        <v>#N/A</v>
      </c>
      <c r="S173" t="e">
        <f>IF($E173="Capilar",$H173,NA())</f>
        <v>#N/A</v>
      </c>
      <c r="T173" s="6" t="str">
        <f t="shared" si="2"/>
        <v>Enero</v>
      </c>
    </row>
    <row r="174" spans="1:20" ht="15" customHeight="1" x14ac:dyDescent="0.25">
      <c r="A174" s="5">
        <v>46296</v>
      </c>
      <c r="B174" s="6" t="s">
        <v>34</v>
      </c>
      <c r="C174" s="6" t="s">
        <v>35</v>
      </c>
      <c r="D174" s="6" t="s">
        <v>36</v>
      </c>
      <c r="E174" s="6" t="s">
        <v>37</v>
      </c>
      <c r="F174" s="6">
        <v>14</v>
      </c>
      <c r="G174" s="7">
        <v>1569.77</v>
      </c>
      <c r="H174" s="7">
        <v>788.4</v>
      </c>
      <c r="I174" s="7">
        <v>21976.78</v>
      </c>
      <c r="J174" s="7">
        <v>11037.6</v>
      </c>
      <c r="K174" s="7">
        <v>10939.18</v>
      </c>
      <c r="L174" s="8">
        <f>IF($E174="Maquillaje",$G174,NA())</f>
        <v>1569.77</v>
      </c>
      <c r="M174" s="8">
        <f>IF($E174="Maquillaje",$H174,NA())</f>
        <v>788.4</v>
      </c>
      <c r="N174" t="e">
        <f>IF($E174="Perfumería",$G174,NA())</f>
        <v>#N/A</v>
      </c>
      <c r="O174" t="e">
        <f>IF($E174="Perfumería",$H174,NA())</f>
        <v>#N/A</v>
      </c>
      <c r="P174" t="e">
        <f>IF($E174="Cuidado Facial",$G174,NA())</f>
        <v>#N/A</v>
      </c>
      <c r="Q174" t="e">
        <f>IF($E174="Cuidado Facial",$H174,NA())</f>
        <v>#N/A</v>
      </c>
      <c r="R174" t="e">
        <f>IF($E174="Capilar",$G174,NA())</f>
        <v>#N/A</v>
      </c>
      <c r="S174" t="e">
        <f>IF($E174="Capilar",$H174,NA())</f>
        <v>#N/A</v>
      </c>
      <c r="T174" s="6" t="str">
        <f t="shared" si="2"/>
        <v>Octubre</v>
      </c>
    </row>
    <row r="175" spans="1:20" ht="15" customHeight="1" x14ac:dyDescent="0.25">
      <c r="A175" s="5">
        <v>46246</v>
      </c>
      <c r="B175" s="6" t="s">
        <v>46</v>
      </c>
      <c r="C175" s="6" t="s">
        <v>31</v>
      </c>
      <c r="D175" s="6" t="s">
        <v>47</v>
      </c>
      <c r="E175" s="6" t="s">
        <v>33</v>
      </c>
      <c r="F175" s="6">
        <v>12</v>
      </c>
      <c r="G175" s="7">
        <v>2963.11</v>
      </c>
      <c r="H175" s="7">
        <v>1502.81</v>
      </c>
      <c r="I175" s="7">
        <v>35557.32</v>
      </c>
      <c r="J175" s="7">
        <v>18033.72</v>
      </c>
      <c r="K175" s="7">
        <v>17523.599999999999</v>
      </c>
      <c r="L175" t="e">
        <f>IF($E175="Maquillaje",$G175,NA())</f>
        <v>#N/A</v>
      </c>
      <c r="M175" t="e">
        <f>IF($E175="Maquillaje",$H175,NA())</f>
        <v>#N/A</v>
      </c>
      <c r="N175" s="8">
        <f>IF($E175="Perfumería",$G175,NA())</f>
        <v>2963.11</v>
      </c>
      <c r="O175" s="8">
        <f>IF($E175="Perfumería",$H175,NA())</f>
        <v>1502.81</v>
      </c>
      <c r="P175" t="e">
        <f>IF($E175="Cuidado Facial",$G175,NA())</f>
        <v>#N/A</v>
      </c>
      <c r="Q175" t="e">
        <f>IF($E175="Cuidado Facial",$H175,NA())</f>
        <v>#N/A</v>
      </c>
      <c r="R175" t="e">
        <f>IF($E175="Capilar",$G175,NA())</f>
        <v>#N/A</v>
      </c>
      <c r="S175" t="e">
        <f>IF($E175="Capilar",$H175,NA())</f>
        <v>#N/A</v>
      </c>
      <c r="T175" s="6" t="str">
        <f t="shared" si="2"/>
        <v>Agosto</v>
      </c>
    </row>
    <row r="176" spans="1:20" ht="15" customHeight="1" x14ac:dyDescent="0.25">
      <c r="A176" s="5">
        <v>46262</v>
      </c>
      <c r="B176" s="6" t="s">
        <v>30</v>
      </c>
      <c r="C176" s="6" t="s">
        <v>48</v>
      </c>
      <c r="D176" s="6" t="s">
        <v>49</v>
      </c>
      <c r="E176" s="6" t="s">
        <v>40</v>
      </c>
      <c r="F176" s="6">
        <v>12</v>
      </c>
      <c r="G176" s="7">
        <v>1765.85</v>
      </c>
      <c r="H176" s="7">
        <v>923.28</v>
      </c>
      <c r="I176" s="7">
        <v>21190.2</v>
      </c>
      <c r="J176" s="7">
        <v>11079.36</v>
      </c>
      <c r="K176" s="7">
        <v>10110.84</v>
      </c>
      <c r="L176" t="e">
        <f>IF($E176="Maquillaje",$G176,NA())</f>
        <v>#N/A</v>
      </c>
      <c r="M176" t="e">
        <f>IF($E176="Maquillaje",$H176,NA())</f>
        <v>#N/A</v>
      </c>
      <c r="N176" t="e">
        <f>IF($E176="Perfumería",$G176,NA())</f>
        <v>#N/A</v>
      </c>
      <c r="O176" t="e">
        <f>IF($E176="Perfumería",$H176,NA())</f>
        <v>#N/A</v>
      </c>
      <c r="P176" s="8">
        <f>IF($E176="Cuidado Facial",$G176,NA())</f>
        <v>1765.85</v>
      </c>
      <c r="Q176" s="8">
        <f>IF($E176="Cuidado Facial",$H176,NA())</f>
        <v>923.28</v>
      </c>
      <c r="R176" t="e">
        <f>IF($E176="Capilar",$G176,NA())</f>
        <v>#N/A</v>
      </c>
      <c r="S176" t="e">
        <f>IF($E176="Capilar",$H176,NA())</f>
        <v>#N/A</v>
      </c>
      <c r="T176" s="6" t="str">
        <f t="shared" si="2"/>
        <v>Agosto</v>
      </c>
    </row>
    <row r="177" spans="1:20" ht="15" customHeight="1" x14ac:dyDescent="0.25">
      <c r="A177" s="5">
        <v>46127</v>
      </c>
      <c r="B177" s="6" t="s">
        <v>41</v>
      </c>
      <c r="C177" s="6" t="s">
        <v>35</v>
      </c>
      <c r="D177" s="6" t="s">
        <v>45</v>
      </c>
      <c r="E177" s="6" t="s">
        <v>43</v>
      </c>
      <c r="F177" s="6">
        <v>6</v>
      </c>
      <c r="G177" s="7">
        <v>1107.6300000000001</v>
      </c>
      <c r="H177" s="7">
        <v>549.26</v>
      </c>
      <c r="I177" s="7">
        <v>6645.78</v>
      </c>
      <c r="J177" s="7">
        <v>3295.56</v>
      </c>
      <c r="K177" s="7">
        <v>3350.22</v>
      </c>
      <c r="L177" t="e">
        <f>IF($E177="Maquillaje",$G177,NA())</f>
        <v>#N/A</v>
      </c>
      <c r="M177" t="e">
        <f>IF($E177="Maquillaje",$H177,NA())</f>
        <v>#N/A</v>
      </c>
      <c r="N177" t="e">
        <f>IF($E177="Perfumería",$G177,NA())</f>
        <v>#N/A</v>
      </c>
      <c r="O177" t="e">
        <f>IF($E177="Perfumería",$H177,NA())</f>
        <v>#N/A</v>
      </c>
      <c r="P177" t="e">
        <f>IF($E177="Cuidado Facial",$G177,NA())</f>
        <v>#N/A</v>
      </c>
      <c r="Q177" t="e">
        <f>IF($E177="Cuidado Facial",$H177,NA())</f>
        <v>#N/A</v>
      </c>
      <c r="R177" s="8">
        <f>IF($E177="Capilar",$G177,NA())</f>
        <v>1107.6300000000001</v>
      </c>
      <c r="S177" s="8">
        <f>IF($E177="Capilar",$H177,NA())</f>
        <v>549.26</v>
      </c>
      <c r="T177" s="6" t="str">
        <f t="shared" si="2"/>
        <v>Abril</v>
      </c>
    </row>
    <row r="178" spans="1:20" ht="15" customHeight="1" x14ac:dyDescent="0.25">
      <c r="A178" s="5">
        <v>46370</v>
      </c>
      <c r="B178" s="6" t="s">
        <v>46</v>
      </c>
      <c r="C178" s="6" t="s">
        <v>31</v>
      </c>
      <c r="D178" s="6" t="s">
        <v>44</v>
      </c>
      <c r="E178" s="6" t="s">
        <v>37</v>
      </c>
      <c r="F178" s="6">
        <v>12</v>
      </c>
      <c r="G178" s="7">
        <v>1216.24</v>
      </c>
      <c r="H178" s="7">
        <v>625.4</v>
      </c>
      <c r="I178" s="7">
        <v>14594.88</v>
      </c>
      <c r="J178" s="7">
        <v>7504.8</v>
      </c>
      <c r="K178" s="7">
        <v>7090.08</v>
      </c>
      <c r="L178" s="8">
        <f>IF($E178="Maquillaje",$G178,NA())</f>
        <v>1216.24</v>
      </c>
      <c r="M178" s="8">
        <f>IF($E178="Maquillaje",$H178,NA())</f>
        <v>625.4</v>
      </c>
      <c r="N178" t="e">
        <f>IF($E178="Perfumería",$G178,NA())</f>
        <v>#N/A</v>
      </c>
      <c r="O178" t="e">
        <f>IF($E178="Perfumería",$H178,NA())</f>
        <v>#N/A</v>
      </c>
      <c r="P178" t="e">
        <f>IF($E178="Cuidado Facial",$G178,NA())</f>
        <v>#N/A</v>
      </c>
      <c r="Q178" t="e">
        <f>IF($E178="Cuidado Facial",$H178,NA())</f>
        <v>#N/A</v>
      </c>
      <c r="R178" t="e">
        <f>IF($E178="Capilar",$G178,NA())</f>
        <v>#N/A</v>
      </c>
      <c r="S178" t="e">
        <f>IF($E178="Capilar",$H178,NA())</f>
        <v>#N/A</v>
      </c>
      <c r="T178" s="6" t="str">
        <f t="shared" si="2"/>
        <v>Diciembre</v>
      </c>
    </row>
    <row r="179" spans="1:20" ht="15" customHeight="1" x14ac:dyDescent="0.25">
      <c r="A179" s="5">
        <v>46141</v>
      </c>
      <c r="B179" s="6" t="s">
        <v>38</v>
      </c>
      <c r="C179" s="6" t="s">
        <v>31</v>
      </c>
      <c r="D179" s="6" t="s">
        <v>49</v>
      </c>
      <c r="E179" s="6" t="s">
        <v>40</v>
      </c>
      <c r="F179" s="6">
        <v>13</v>
      </c>
      <c r="G179" s="7">
        <v>1726.91</v>
      </c>
      <c r="H179" s="7">
        <v>821.86</v>
      </c>
      <c r="I179" s="7">
        <v>22449.83</v>
      </c>
      <c r="J179" s="7">
        <v>10684.18</v>
      </c>
      <c r="K179" s="7">
        <v>11765.65</v>
      </c>
      <c r="L179" t="e">
        <f>IF($E179="Maquillaje",$G179,NA())</f>
        <v>#N/A</v>
      </c>
      <c r="M179" t="e">
        <f>IF($E179="Maquillaje",$H179,NA())</f>
        <v>#N/A</v>
      </c>
      <c r="N179" t="e">
        <f>IF($E179="Perfumería",$G179,NA())</f>
        <v>#N/A</v>
      </c>
      <c r="O179" t="e">
        <f>IF($E179="Perfumería",$H179,NA())</f>
        <v>#N/A</v>
      </c>
      <c r="P179" s="8">
        <f>IF($E179="Cuidado Facial",$G179,NA())</f>
        <v>1726.91</v>
      </c>
      <c r="Q179" s="8">
        <f>IF($E179="Cuidado Facial",$H179,NA())</f>
        <v>821.86</v>
      </c>
      <c r="R179" t="e">
        <f>IF($E179="Capilar",$G179,NA())</f>
        <v>#N/A</v>
      </c>
      <c r="S179" t="e">
        <f>IF($E179="Capilar",$H179,NA())</f>
        <v>#N/A</v>
      </c>
      <c r="T179" s="6" t="str">
        <f t="shared" si="2"/>
        <v>Abril</v>
      </c>
    </row>
    <row r="180" spans="1:20" ht="15" customHeight="1" x14ac:dyDescent="0.25">
      <c r="A180" s="5">
        <v>46383</v>
      </c>
      <c r="B180" s="6" t="s">
        <v>30</v>
      </c>
      <c r="C180" s="6" t="s">
        <v>31</v>
      </c>
      <c r="D180" s="6" t="s">
        <v>49</v>
      </c>
      <c r="E180" s="6" t="s">
        <v>40</v>
      </c>
      <c r="F180" s="6">
        <v>2</v>
      </c>
      <c r="G180" s="7">
        <v>1685.4</v>
      </c>
      <c r="H180" s="7">
        <v>830.74</v>
      </c>
      <c r="I180" s="7">
        <v>3370.8</v>
      </c>
      <c r="J180" s="7">
        <v>1661.48</v>
      </c>
      <c r="K180" s="7">
        <v>1709.32</v>
      </c>
      <c r="L180" t="e">
        <f>IF($E180="Maquillaje",$G180,NA())</f>
        <v>#N/A</v>
      </c>
      <c r="M180" t="e">
        <f>IF($E180="Maquillaje",$H180,NA())</f>
        <v>#N/A</v>
      </c>
      <c r="N180" t="e">
        <f>IF($E180="Perfumería",$G180,NA())</f>
        <v>#N/A</v>
      </c>
      <c r="O180" t="e">
        <f>IF($E180="Perfumería",$H180,NA())</f>
        <v>#N/A</v>
      </c>
      <c r="P180" s="8">
        <f>IF($E180="Cuidado Facial",$G180,NA())</f>
        <v>1685.4</v>
      </c>
      <c r="Q180" s="8">
        <f>IF($E180="Cuidado Facial",$H180,NA())</f>
        <v>830.74</v>
      </c>
      <c r="R180" t="e">
        <f>IF($E180="Capilar",$G180,NA())</f>
        <v>#N/A</v>
      </c>
      <c r="S180" t="e">
        <f>IF($E180="Capilar",$H180,NA())</f>
        <v>#N/A</v>
      </c>
      <c r="T180" s="6" t="str">
        <f t="shared" si="2"/>
        <v>Diciembre</v>
      </c>
    </row>
    <row r="181" spans="1:20" ht="15" customHeight="1" x14ac:dyDescent="0.25">
      <c r="A181" s="5">
        <v>46043</v>
      </c>
      <c r="B181" s="6" t="s">
        <v>46</v>
      </c>
      <c r="C181" s="6" t="s">
        <v>31</v>
      </c>
      <c r="D181" s="6" t="s">
        <v>32</v>
      </c>
      <c r="E181" s="6" t="s">
        <v>33</v>
      </c>
      <c r="F181" s="6">
        <v>3</v>
      </c>
      <c r="G181" s="7">
        <v>3318.9</v>
      </c>
      <c r="H181" s="7">
        <v>1588.73</v>
      </c>
      <c r="I181" s="7">
        <v>9956.7000000000007</v>
      </c>
      <c r="J181" s="7">
        <v>4766.1899999999996</v>
      </c>
      <c r="K181" s="7">
        <v>5190.51</v>
      </c>
      <c r="L181" t="e">
        <f>IF($E181="Maquillaje",$G181,NA())</f>
        <v>#N/A</v>
      </c>
      <c r="M181" t="e">
        <f>IF($E181="Maquillaje",$H181,NA())</f>
        <v>#N/A</v>
      </c>
      <c r="N181">
        <f>IF($E181="Perfumería",$G181,NA())</f>
        <v>3318.9</v>
      </c>
      <c r="O181">
        <f>IF($E181="Perfumería",$H181,NA())</f>
        <v>1588.73</v>
      </c>
      <c r="P181" t="e">
        <f>IF($E181="Cuidado Facial",$G181,NA())</f>
        <v>#N/A</v>
      </c>
      <c r="Q181" t="e">
        <f>IF($E181="Cuidado Facial",$H181,NA())</f>
        <v>#N/A</v>
      </c>
      <c r="R181" t="e">
        <f>IF($E181="Capilar",$G181,NA())</f>
        <v>#N/A</v>
      </c>
      <c r="S181" t="e">
        <f>IF($E181="Capilar",$H181,NA())</f>
        <v>#N/A</v>
      </c>
      <c r="T181" s="6" t="str">
        <f t="shared" si="2"/>
        <v>Enero</v>
      </c>
    </row>
    <row r="182" spans="1:20" ht="15" customHeight="1" x14ac:dyDescent="0.25">
      <c r="A182" s="5">
        <v>46139</v>
      </c>
      <c r="B182" s="6" t="s">
        <v>46</v>
      </c>
      <c r="C182" s="6" t="s">
        <v>31</v>
      </c>
      <c r="D182" s="6" t="s">
        <v>49</v>
      </c>
      <c r="E182" s="6" t="s">
        <v>40</v>
      </c>
      <c r="F182" s="6">
        <v>2</v>
      </c>
      <c r="G182" s="7">
        <v>1920.34</v>
      </c>
      <c r="H182" s="7">
        <v>949.77</v>
      </c>
      <c r="I182" s="7">
        <v>3840.68</v>
      </c>
      <c r="J182" s="7">
        <v>1899.54</v>
      </c>
      <c r="K182" s="7">
        <v>1941.14</v>
      </c>
      <c r="L182" t="e">
        <f>IF($E182="Maquillaje",$G182,NA())</f>
        <v>#N/A</v>
      </c>
      <c r="M182" t="e">
        <f>IF($E182="Maquillaje",$H182,NA())</f>
        <v>#N/A</v>
      </c>
      <c r="N182" t="e">
        <f>IF($E182="Perfumería",$G182,NA())</f>
        <v>#N/A</v>
      </c>
      <c r="O182" t="e">
        <f>IF($E182="Perfumería",$H182,NA())</f>
        <v>#N/A</v>
      </c>
      <c r="P182" s="8">
        <f>IF($E182="Cuidado Facial",$G182,NA())</f>
        <v>1920.34</v>
      </c>
      <c r="Q182" s="8">
        <f>IF($E182="Cuidado Facial",$H182,NA())</f>
        <v>949.77</v>
      </c>
      <c r="R182" t="e">
        <f>IF($E182="Capilar",$G182,NA())</f>
        <v>#N/A</v>
      </c>
      <c r="S182" t="e">
        <f>IF($E182="Capilar",$H182,NA())</f>
        <v>#N/A</v>
      </c>
      <c r="T182" s="6" t="str">
        <f t="shared" si="2"/>
        <v>Abril</v>
      </c>
    </row>
    <row r="183" spans="1:20" ht="15" customHeight="1" x14ac:dyDescent="0.25">
      <c r="A183" s="5">
        <v>46333</v>
      </c>
      <c r="B183" s="6" t="s">
        <v>30</v>
      </c>
      <c r="C183" s="6" t="s">
        <v>31</v>
      </c>
      <c r="D183" s="6" t="s">
        <v>44</v>
      </c>
      <c r="E183" s="6" t="s">
        <v>37</v>
      </c>
      <c r="F183" s="6">
        <v>4</v>
      </c>
      <c r="G183" s="7">
        <v>1266.51</v>
      </c>
      <c r="H183" s="7">
        <v>629.94000000000005</v>
      </c>
      <c r="I183" s="7">
        <v>5066.04</v>
      </c>
      <c r="J183" s="7">
        <v>2519.7600000000002</v>
      </c>
      <c r="K183" s="7">
        <v>2546.2800000000002</v>
      </c>
      <c r="L183" s="8">
        <f>IF($E183="Maquillaje",$G183,NA())</f>
        <v>1266.51</v>
      </c>
      <c r="M183" s="8">
        <f>IF($E183="Maquillaje",$H183,NA())</f>
        <v>629.94000000000005</v>
      </c>
      <c r="N183" t="e">
        <f>IF($E183="Perfumería",$G183,NA())</f>
        <v>#N/A</v>
      </c>
      <c r="O183" t="e">
        <f>IF($E183="Perfumería",$H183,NA())</f>
        <v>#N/A</v>
      </c>
      <c r="P183" t="e">
        <f>IF($E183="Cuidado Facial",$G183,NA())</f>
        <v>#N/A</v>
      </c>
      <c r="Q183" t="e">
        <f>IF($E183="Cuidado Facial",$H183,NA())</f>
        <v>#N/A</v>
      </c>
      <c r="R183" t="e">
        <f>IF($E183="Capilar",$G183,NA())</f>
        <v>#N/A</v>
      </c>
      <c r="S183" t="e">
        <f>IF($E183="Capilar",$H183,NA())</f>
        <v>#N/A</v>
      </c>
      <c r="T183" s="6" t="str">
        <f t="shared" si="2"/>
        <v>Noviembre</v>
      </c>
    </row>
    <row r="184" spans="1:20" ht="15" customHeight="1" x14ac:dyDescent="0.25">
      <c r="A184" s="5">
        <v>46338</v>
      </c>
      <c r="B184" s="6" t="s">
        <v>41</v>
      </c>
      <c r="C184" s="6" t="s">
        <v>35</v>
      </c>
      <c r="D184" s="6" t="s">
        <v>42</v>
      </c>
      <c r="E184" s="6" t="s">
        <v>43</v>
      </c>
      <c r="F184" s="6">
        <v>15</v>
      </c>
      <c r="G184" s="7">
        <v>919.66</v>
      </c>
      <c r="H184" s="7">
        <v>480.3</v>
      </c>
      <c r="I184" s="7">
        <v>13794.9</v>
      </c>
      <c r="J184" s="7">
        <v>7204.5</v>
      </c>
      <c r="K184" s="7">
        <v>6590.4</v>
      </c>
      <c r="L184" t="e">
        <f>IF($E184="Maquillaje",$G184,NA())</f>
        <v>#N/A</v>
      </c>
      <c r="M184" t="e">
        <f>IF($E184="Maquillaje",$H184,NA())</f>
        <v>#N/A</v>
      </c>
      <c r="N184" t="e">
        <f>IF($E184="Perfumería",$G184,NA())</f>
        <v>#N/A</v>
      </c>
      <c r="O184" t="e">
        <f>IF($E184="Perfumería",$H184,NA())</f>
        <v>#N/A</v>
      </c>
      <c r="P184" t="e">
        <f>IF($E184="Cuidado Facial",$G184,NA())</f>
        <v>#N/A</v>
      </c>
      <c r="Q184" t="e">
        <f>IF($E184="Cuidado Facial",$H184,NA())</f>
        <v>#N/A</v>
      </c>
      <c r="R184" s="8">
        <f>IF($E184="Capilar",$G184,NA())</f>
        <v>919.66</v>
      </c>
      <c r="S184" s="8">
        <f>IF($E184="Capilar",$H184,NA())</f>
        <v>480.3</v>
      </c>
      <c r="T184" s="6" t="str">
        <f t="shared" si="2"/>
        <v>Noviembre</v>
      </c>
    </row>
    <row r="185" spans="1:20" ht="15" customHeight="1" x14ac:dyDescent="0.25">
      <c r="A185" s="5">
        <v>46283</v>
      </c>
      <c r="B185" s="6" t="s">
        <v>46</v>
      </c>
      <c r="C185" s="6" t="s">
        <v>31</v>
      </c>
      <c r="D185" s="6" t="s">
        <v>47</v>
      </c>
      <c r="E185" s="6" t="s">
        <v>33</v>
      </c>
      <c r="F185" s="6">
        <v>13</v>
      </c>
      <c r="G185" s="7">
        <v>3001.15</v>
      </c>
      <c r="H185" s="7">
        <v>1744.74</v>
      </c>
      <c r="I185" s="7">
        <v>39014.949999999997</v>
      </c>
      <c r="J185" s="7">
        <v>22681.62</v>
      </c>
      <c r="K185" s="7">
        <v>16333.33</v>
      </c>
      <c r="L185" t="e">
        <f>IF($E185="Maquillaje",$G185,NA())</f>
        <v>#N/A</v>
      </c>
      <c r="M185" t="e">
        <f>IF($E185="Maquillaje",$H185,NA())</f>
        <v>#N/A</v>
      </c>
      <c r="N185">
        <f>IF($E185="Perfumería",$G185,NA())</f>
        <v>3001.15</v>
      </c>
      <c r="O185">
        <f>IF($E185="Perfumería",$H185,NA())</f>
        <v>1744.74</v>
      </c>
      <c r="P185" t="e">
        <f>IF($E185="Cuidado Facial",$G185,NA())</f>
        <v>#N/A</v>
      </c>
      <c r="Q185" t="e">
        <f>IF($E185="Cuidado Facial",$H185,NA())</f>
        <v>#N/A</v>
      </c>
      <c r="R185" t="e">
        <f>IF($E185="Capilar",$G185,NA())</f>
        <v>#N/A</v>
      </c>
      <c r="S185" t="e">
        <f>IF($E185="Capilar",$H185,NA())</f>
        <v>#N/A</v>
      </c>
      <c r="T185" s="6" t="str">
        <f t="shared" si="2"/>
        <v>Septiembre</v>
      </c>
    </row>
    <row r="186" spans="1:20" ht="15" customHeight="1" x14ac:dyDescent="0.25">
      <c r="A186" s="5">
        <v>46106</v>
      </c>
      <c r="B186" s="6" t="s">
        <v>46</v>
      </c>
      <c r="C186" s="6" t="s">
        <v>31</v>
      </c>
      <c r="D186" s="6" t="s">
        <v>32</v>
      </c>
      <c r="E186" s="6" t="s">
        <v>33</v>
      </c>
      <c r="F186" s="6">
        <v>3</v>
      </c>
      <c r="G186" s="7">
        <v>3303.32</v>
      </c>
      <c r="H186" s="7">
        <v>1719.07</v>
      </c>
      <c r="I186" s="7">
        <v>9909.9599999999991</v>
      </c>
      <c r="J186" s="7">
        <v>5157.21</v>
      </c>
      <c r="K186" s="7">
        <v>4752.75</v>
      </c>
      <c r="L186" t="e">
        <f>IF($E186="Maquillaje",$G186,NA())</f>
        <v>#N/A</v>
      </c>
      <c r="M186" t="e">
        <f>IF($E186="Maquillaje",$H186,NA())</f>
        <v>#N/A</v>
      </c>
      <c r="N186" s="8">
        <f>IF($E186="Perfumería",$G186,NA())</f>
        <v>3303.32</v>
      </c>
      <c r="O186" s="8">
        <f>IF($E186="Perfumería",$H186,NA())</f>
        <v>1719.07</v>
      </c>
      <c r="P186" t="e">
        <f>IF($E186="Cuidado Facial",$G186,NA())</f>
        <v>#N/A</v>
      </c>
      <c r="Q186" t="e">
        <f>IF($E186="Cuidado Facial",$H186,NA())</f>
        <v>#N/A</v>
      </c>
      <c r="R186" t="e">
        <f>IF($E186="Capilar",$G186,NA())</f>
        <v>#N/A</v>
      </c>
      <c r="S186" t="e">
        <f>IF($E186="Capilar",$H186,NA())</f>
        <v>#N/A</v>
      </c>
      <c r="T186" s="6" t="str">
        <f t="shared" si="2"/>
        <v>Marzo</v>
      </c>
    </row>
    <row r="187" spans="1:20" ht="15" customHeight="1" x14ac:dyDescent="0.25">
      <c r="A187" s="5">
        <v>46384</v>
      </c>
      <c r="B187" s="6" t="s">
        <v>34</v>
      </c>
      <c r="C187" s="6" t="s">
        <v>35</v>
      </c>
      <c r="D187" s="6" t="s">
        <v>44</v>
      </c>
      <c r="E187" s="6" t="s">
        <v>37</v>
      </c>
      <c r="F187" s="6">
        <v>12</v>
      </c>
      <c r="G187" s="7">
        <v>1186.81</v>
      </c>
      <c r="H187" s="7">
        <v>706.66</v>
      </c>
      <c r="I187" s="7">
        <v>14241.72</v>
      </c>
      <c r="J187" s="7">
        <v>8479.92</v>
      </c>
      <c r="K187" s="7">
        <v>5761.8</v>
      </c>
      <c r="L187" s="8">
        <f>IF($E187="Maquillaje",$G187,NA())</f>
        <v>1186.81</v>
      </c>
      <c r="M187" s="8">
        <f>IF($E187="Maquillaje",$H187,NA())</f>
        <v>706.66</v>
      </c>
      <c r="N187" t="e">
        <f>IF($E187="Perfumería",$G187,NA())</f>
        <v>#N/A</v>
      </c>
      <c r="O187" t="e">
        <f>IF($E187="Perfumería",$H187,NA())</f>
        <v>#N/A</v>
      </c>
      <c r="P187" t="e">
        <f>IF($E187="Cuidado Facial",$G187,NA())</f>
        <v>#N/A</v>
      </c>
      <c r="Q187" t="e">
        <f>IF($E187="Cuidado Facial",$H187,NA())</f>
        <v>#N/A</v>
      </c>
      <c r="R187" t="e">
        <f>IF($E187="Capilar",$G187,NA())</f>
        <v>#N/A</v>
      </c>
      <c r="S187" t="e">
        <f>IF($E187="Capilar",$H187,NA())</f>
        <v>#N/A</v>
      </c>
      <c r="T187" s="6" t="str">
        <f t="shared" si="2"/>
        <v>Diciembre</v>
      </c>
    </row>
    <row r="188" spans="1:20" ht="15" customHeight="1" x14ac:dyDescent="0.25">
      <c r="A188" s="5">
        <v>46095</v>
      </c>
      <c r="B188" s="6" t="s">
        <v>30</v>
      </c>
      <c r="C188" s="6" t="s">
        <v>48</v>
      </c>
      <c r="D188" s="6" t="s">
        <v>42</v>
      </c>
      <c r="E188" s="6" t="s">
        <v>43</v>
      </c>
      <c r="F188" s="6">
        <v>11</v>
      </c>
      <c r="G188" s="7">
        <v>981.64</v>
      </c>
      <c r="H188" s="7">
        <v>489.47</v>
      </c>
      <c r="I188" s="7">
        <v>10798.04</v>
      </c>
      <c r="J188" s="7">
        <v>5384.17</v>
      </c>
      <c r="K188" s="7">
        <v>5413.87</v>
      </c>
      <c r="L188" t="e">
        <f>IF($E188="Maquillaje",$G188,NA())</f>
        <v>#N/A</v>
      </c>
      <c r="M188" t="e">
        <f>IF($E188="Maquillaje",$H188,NA())</f>
        <v>#N/A</v>
      </c>
      <c r="N188" t="e">
        <f>IF($E188="Perfumería",$G188,NA())</f>
        <v>#N/A</v>
      </c>
      <c r="O188" t="e">
        <f>IF($E188="Perfumería",$H188,NA())</f>
        <v>#N/A</v>
      </c>
      <c r="P188" t="e">
        <f>IF($E188="Cuidado Facial",$G188,NA())</f>
        <v>#N/A</v>
      </c>
      <c r="Q188" t="e">
        <f>IF($E188="Cuidado Facial",$H188,NA())</f>
        <v>#N/A</v>
      </c>
      <c r="R188" s="8">
        <f>IF($E188="Capilar",$G188,NA())</f>
        <v>981.64</v>
      </c>
      <c r="S188" s="8">
        <f>IF($E188="Capilar",$H188,NA())</f>
        <v>489.47</v>
      </c>
      <c r="T188" s="6" t="str">
        <f t="shared" si="2"/>
        <v>Marzo</v>
      </c>
    </row>
    <row r="189" spans="1:20" ht="15" customHeight="1" x14ac:dyDescent="0.25">
      <c r="A189" s="5">
        <v>46081</v>
      </c>
      <c r="B189" s="6" t="s">
        <v>30</v>
      </c>
      <c r="C189" s="6" t="s">
        <v>48</v>
      </c>
      <c r="D189" s="6" t="s">
        <v>32</v>
      </c>
      <c r="E189" s="6" t="s">
        <v>33</v>
      </c>
      <c r="F189" s="6">
        <v>1</v>
      </c>
      <c r="G189" s="7">
        <v>3669.15</v>
      </c>
      <c r="H189" s="7">
        <v>1681.37</v>
      </c>
      <c r="I189" s="7">
        <v>3669.15</v>
      </c>
      <c r="J189" s="7">
        <v>1681.37</v>
      </c>
      <c r="K189" s="7">
        <v>1987.78</v>
      </c>
      <c r="L189" t="e">
        <f>IF($E189="Maquillaje",$G189,NA())</f>
        <v>#N/A</v>
      </c>
      <c r="M189" t="e">
        <f>IF($E189="Maquillaje",$H189,NA())</f>
        <v>#N/A</v>
      </c>
      <c r="N189" s="8">
        <f>IF($E189="Perfumería",$G189,NA())</f>
        <v>3669.15</v>
      </c>
      <c r="O189" s="8">
        <f>IF($E189="Perfumería",$H189,NA())</f>
        <v>1681.37</v>
      </c>
      <c r="P189" t="e">
        <f>IF($E189="Cuidado Facial",$G189,NA())</f>
        <v>#N/A</v>
      </c>
      <c r="Q189" t="e">
        <f>IF($E189="Cuidado Facial",$H189,NA())</f>
        <v>#N/A</v>
      </c>
      <c r="R189" t="e">
        <f>IF($E189="Capilar",$G189,NA())</f>
        <v>#N/A</v>
      </c>
      <c r="S189" t="e">
        <f>IF($E189="Capilar",$H189,NA())</f>
        <v>#N/A</v>
      </c>
      <c r="T189" s="6" t="str">
        <f t="shared" si="2"/>
        <v>Febrero</v>
      </c>
    </row>
    <row r="190" spans="1:20" ht="15" customHeight="1" x14ac:dyDescent="0.25">
      <c r="A190" s="5">
        <v>46105</v>
      </c>
      <c r="B190" s="6" t="s">
        <v>41</v>
      </c>
      <c r="C190" s="6" t="s">
        <v>35</v>
      </c>
      <c r="D190" s="6" t="s">
        <v>47</v>
      </c>
      <c r="E190" s="6" t="s">
        <v>33</v>
      </c>
      <c r="F190" s="6">
        <v>2</v>
      </c>
      <c r="G190" s="7">
        <v>2909.17</v>
      </c>
      <c r="H190" s="7">
        <v>1589.92</v>
      </c>
      <c r="I190" s="7">
        <v>5818.34</v>
      </c>
      <c r="J190" s="7">
        <v>3179.84</v>
      </c>
      <c r="K190" s="7">
        <v>2638.5</v>
      </c>
      <c r="L190" t="e">
        <f>IF($E190="Maquillaje",$G190,NA())</f>
        <v>#N/A</v>
      </c>
      <c r="M190" t="e">
        <f>IF($E190="Maquillaje",$H190,NA())</f>
        <v>#N/A</v>
      </c>
      <c r="N190" s="8">
        <f>IF($E190="Perfumería",$G190,NA())</f>
        <v>2909.17</v>
      </c>
      <c r="O190" s="8">
        <f>IF($E190="Perfumería",$H190,NA())</f>
        <v>1589.92</v>
      </c>
      <c r="P190" t="e">
        <f>IF($E190="Cuidado Facial",$G190,NA())</f>
        <v>#N/A</v>
      </c>
      <c r="Q190" t="e">
        <f>IF($E190="Cuidado Facial",$H190,NA())</f>
        <v>#N/A</v>
      </c>
      <c r="R190" t="e">
        <f>IF($E190="Capilar",$G190,NA())</f>
        <v>#N/A</v>
      </c>
      <c r="S190" t="e">
        <f>IF($E190="Capilar",$H190,NA())</f>
        <v>#N/A</v>
      </c>
      <c r="T190" s="6" t="str">
        <f t="shared" si="2"/>
        <v>Marzo</v>
      </c>
    </row>
    <row r="191" spans="1:20" ht="15" customHeight="1" x14ac:dyDescent="0.25">
      <c r="A191" s="5">
        <v>46344</v>
      </c>
      <c r="B191" s="6" t="s">
        <v>38</v>
      </c>
      <c r="C191" s="6" t="s">
        <v>31</v>
      </c>
      <c r="D191" s="6" t="s">
        <v>36</v>
      </c>
      <c r="E191" s="6" t="s">
        <v>37</v>
      </c>
      <c r="F191" s="6">
        <v>12</v>
      </c>
      <c r="G191" s="7">
        <v>1313.02</v>
      </c>
      <c r="H191" s="7">
        <v>822.81</v>
      </c>
      <c r="I191" s="7">
        <v>15756.24</v>
      </c>
      <c r="J191" s="7">
        <v>9873.7199999999993</v>
      </c>
      <c r="K191" s="7">
        <v>5882.52</v>
      </c>
      <c r="L191" s="8">
        <f>IF($E191="Maquillaje",$G191,NA())</f>
        <v>1313.02</v>
      </c>
      <c r="M191" s="8">
        <f>IF($E191="Maquillaje",$H191,NA())</f>
        <v>822.81</v>
      </c>
      <c r="N191" t="e">
        <f>IF($E191="Perfumería",$G191,NA())</f>
        <v>#N/A</v>
      </c>
      <c r="O191" t="e">
        <f>IF($E191="Perfumería",$H191,NA())</f>
        <v>#N/A</v>
      </c>
      <c r="P191" t="e">
        <f>IF($E191="Cuidado Facial",$G191,NA())</f>
        <v>#N/A</v>
      </c>
      <c r="Q191" t="e">
        <f>IF($E191="Cuidado Facial",$H191,NA())</f>
        <v>#N/A</v>
      </c>
      <c r="R191" t="e">
        <f>IF($E191="Capilar",$G191,NA())</f>
        <v>#N/A</v>
      </c>
      <c r="S191" t="e">
        <f>IF($E191="Capilar",$H191,NA())</f>
        <v>#N/A</v>
      </c>
      <c r="T191" s="6" t="str">
        <f t="shared" si="2"/>
        <v>Noviembre</v>
      </c>
    </row>
    <row r="192" spans="1:20" ht="15" customHeight="1" x14ac:dyDescent="0.25">
      <c r="A192" s="5">
        <v>46349</v>
      </c>
      <c r="B192" s="6" t="s">
        <v>38</v>
      </c>
      <c r="C192" s="6" t="s">
        <v>31</v>
      </c>
      <c r="D192" s="6" t="s">
        <v>39</v>
      </c>
      <c r="E192" s="6" t="s">
        <v>40</v>
      </c>
      <c r="F192" s="6">
        <v>10</v>
      </c>
      <c r="G192" s="7">
        <v>2027.2</v>
      </c>
      <c r="H192" s="7">
        <v>983.75</v>
      </c>
      <c r="I192" s="7">
        <v>20272</v>
      </c>
      <c r="J192" s="7">
        <v>9837.5</v>
      </c>
      <c r="K192" s="7">
        <v>10434.5</v>
      </c>
      <c r="L192" t="e">
        <f>IF($E192="Maquillaje",$G192,NA())</f>
        <v>#N/A</v>
      </c>
      <c r="M192" t="e">
        <f>IF($E192="Maquillaje",$H192,NA())</f>
        <v>#N/A</v>
      </c>
      <c r="N192" t="e">
        <f>IF($E192="Perfumería",$G192,NA())</f>
        <v>#N/A</v>
      </c>
      <c r="O192" t="e">
        <f>IF($E192="Perfumería",$H192,NA())</f>
        <v>#N/A</v>
      </c>
      <c r="P192" s="8">
        <f>IF($E192="Cuidado Facial",$G192,NA())</f>
        <v>2027.2</v>
      </c>
      <c r="Q192" s="8">
        <f>IF($E192="Cuidado Facial",$H192,NA())</f>
        <v>983.75</v>
      </c>
      <c r="R192" t="e">
        <f>IF($E192="Capilar",$G192,NA())</f>
        <v>#N/A</v>
      </c>
      <c r="S192" t="e">
        <f>IF($E192="Capilar",$H192,NA())</f>
        <v>#N/A</v>
      </c>
      <c r="T192" s="6" t="str">
        <f t="shared" si="2"/>
        <v>Noviembre</v>
      </c>
    </row>
    <row r="193" spans="1:20" ht="15" customHeight="1" x14ac:dyDescent="0.25">
      <c r="A193" s="5">
        <v>46305</v>
      </c>
      <c r="B193" s="6" t="s">
        <v>34</v>
      </c>
      <c r="C193" s="6" t="s">
        <v>35</v>
      </c>
      <c r="D193" s="6" t="s">
        <v>44</v>
      </c>
      <c r="E193" s="6" t="s">
        <v>37</v>
      </c>
      <c r="F193" s="6">
        <v>10</v>
      </c>
      <c r="G193" s="7">
        <v>1272.67</v>
      </c>
      <c r="H193" s="7">
        <v>704.74</v>
      </c>
      <c r="I193" s="7">
        <v>12726.7</v>
      </c>
      <c r="J193" s="7">
        <v>7047.4</v>
      </c>
      <c r="K193" s="7">
        <v>5679.3</v>
      </c>
      <c r="L193" s="8">
        <f>IF($E193="Maquillaje",$G193,NA())</f>
        <v>1272.67</v>
      </c>
      <c r="M193" s="8">
        <f>IF($E193="Maquillaje",$H193,NA())</f>
        <v>704.74</v>
      </c>
      <c r="N193" t="e">
        <f>IF($E193="Perfumería",$G193,NA())</f>
        <v>#N/A</v>
      </c>
      <c r="O193" t="e">
        <f>IF($E193="Perfumería",$H193,NA())</f>
        <v>#N/A</v>
      </c>
      <c r="P193" t="e">
        <f>IF($E193="Cuidado Facial",$G193,NA())</f>
        <v>#N/A</v>
      </c>
      <c r="Q193" t="e">
        <f>IF($E193="Cuidado Facial",$H193,NA())</f>
        <v>#N/A</v>
      </c>
      <c r="R193" t="e">
        <f>IF($E193="Capilar",$G193,NA())</f>
        <v>#N/A</v>
      </c>
      <c r="S193" t="e">
        <f>IF($E193="Capilar",$H193,NA())</f>
        <v>#N/A</v>
      </c>
      <c r="T193" s="6" t="str">
        <f t="shared" si="2"/>
        <v>Octubre</v>
      </c>
    </row>
    <row r="194" spans="1:20" ht="15" customHeight="1" x14ac:dyDescent="0.25">
      <c r="A194" s="5">
        <v>46133</v>
      </c>
      <c r="B194" s="6" t="s">
        <v>41</v>
      </c>
      <c r="C194" s="6" t="s">
        <v>35</v>
      </c>
      <c r="D194" s="6" t="s">
        <v>36</v>
      </c>
      <c r="E194" s="6" t="s">
        <v>37</v>
      </c>
      <c r="F194" s="6">
        <v>12</v>
      </c>
      <c r="G194" s="7">
        <v>1370.97</v>
      </c>
      <c r="H194" s="7">
        <v>723.57</v>
      </c>
      <c r="I194" s="7">
        <v>16451.64</v>
      </c>
      <c r="J194" s="7">
        <v>8682.84</v>
      </c>
      <c r="K194" s="7">
        <v>7768.8</v>
      </c>
      <c r="L194" s="8">
        <f>IF($E194="Maquillaje",$G194,NA())</f>
        <v>1370.97</v>
      </c>
      <c r="M194" s="8">
        <f>IF($E194="Maquillaje",$H194,NA())</f>
        <v>723.57</v>
      </c>
      <c r="N194" t="e">
        <f>IF($E194="Perfumería",$G194,NA())</f>
        <v>#N/A</v>
      </c>
      <c r="O194" t="e">
        <f>IF($E194="Perfumería",$H194,NA())</f>
        <v>#N/A</v>
      </c>
      <c r="P194" t="e">
        <f>IF($E194="Cuidado Facial",$G194,NA())</f>
        <v>#N/A</v>
      </c>
      <c r="Q194" t="e">
        <f>IF($E194="Cuidado Facial",$H194,NA())</f>
        <v>#N/A</v>
      </c>
      <c r="R194" t="e">
        <f>IF($E194="Capilar",$G194,NA())</f>
        <v>#N/A</v>
      </c>
      <c r="S194" t="e">
        <f>IF($E194="Capilar",$H194,NA())</f>
        <v>#N/A</v>
      </c>
      <c r="T194" s="6" t="str">
        <f t="shared" ref="T194:T257" si="3">CHOOSE(MONTH(A194),"Enero","Febrero","Marzo","Abril","Mayo","Junio","Julio","Agosto","Septiembre","Octubre","Noviembre","Diciembre")</f>
        <v>Abril</v>
      </c>
    </row>
    <row r="195" spans="1:20" ht="15" customHeight="1" x14ac:dyDescent="0.25">
      <c r="A195" s="5">
        <v>46248</v>
      </c>
      <c r="B195" s="6" t="s">
        <v>30</v>
      </c>
      <c r="C195" s="6" t="s">
        <v>31</v>
      </c>
      <c r="D195" s="6" t="s">
        <v>44</v>
      </c>
      <c r="E195" s="6" t="s">
        <v>37</v>
      </c>
      <c r="F195" s="6">
        <v>14</v>
      </c>
      <c r="G195" s="7">
        <v>1226.58</v>
      </c>
      <c r="H195" s="7">
        <v>693.36</v>
      </c>
      <c r="I195" s="7">
        <v>17172.12</v>
      </c>
      <c r="J195" s="7">
        <v>9707.0400000000009</v>
      </c>
      <c r="K195" s="7">
        <v>7465.08</v>
      </c>
      <c r="L195" s="8">
        <f>IF($E195="Maquillaje",$G195,NA())</f>
        <v>1226.58</v>
      </c>
      <c r="M195" s="8">
        <f>IF($E195="Maquillaje",$H195,NA())</f>
        <v>693.36</v>
      </c>
      <c r="N195" t="e">
        <f>IF($E195="Perfumería",$G195,NA())</f>
        <v>#N/A</v>
      </c>
      <c r="O195" t="e">
        <f>IF($E195="Perfumería",$H195,NA())</f>
        <v>#N/A</v>
      </c>
      <c r="P195" t="e">
        <f>IF($E195="Cuidado Facial",$G195,NA())</f>
        <v>#N/A</v>
      </c>
      <c r="Q195" t="e">
        <f>IF($E195="Cuidado Facial",$H195,NA())</f>
        <v>#N/A</v>
      </c>
      <c r="R195" t="e">
        <f>IF($E195="Capilar",$G195,NA())</f>
        <v>#N/A</v>
      </c>
      <c r="S195" t="e">
        <f>IF($E195="Capilar",$H195,NA())</f>
        <v>#N/A</v>
      </c>
      <c r="T195" s="6" t="str">
        <f t="shared" si="3"/>
        <v>Agosto</v>
      </c>
    </row>
    <row r="196" spans="1:20" ht="15" customHeight="1" x14ac:dyDescent="0.25">
      <c r="A196" s="5">
        <v>46311</v>
      </c>
      <c r="B196" s="6" t="s">
        <v>46</v>
      </c>
      <c r="C196" s="6" t="s">
        <v>31</v>
      </c>
      <c r="D196" s="6" t="s">
        <v>36</v>
      </c>
      <c r="E196" s="6" t="s">
        <v>37</v>
      </c>
      <c r="F196" s="6">
        <v>6</v>
      </c>
      <c r="G196" s="7">
        <v>1454.87</v>
      </c>
      <c r="H196" s="7">
        <v>768.83</v>
      </c>
      <c r="I196" s="7">
        <v>8729.2199999999993</v>
      </c>
      <c r="J196" s="7">
        <v>4612.9799999999996</v>
      </c>
      <c r="K196" s="7">
        <v>4116.24</v>
      </c>
      <c r="L196" s="8">
        <f>IF($E196="Maquillaje",$G196,NA())</f>
        <v>1454.87</v>
      </c>
      <c r="M196" s="8">
        <f>IF($E196="Maquillaje",$H196,NA())</f>
        <v>768.83</v>
      </c>
      <c r="N196" t="e">
        <f>IF($E196="Perfumería",$G196,NA())</f>
        <v>#N/A</v>
      </c>
      <c r="O196" t="e">
        <f>IF($E196="Perfumería",$H196,NA())</f>
        <v>#N/A</v>
      </c>
      <c r="P196" t="e">
        <f>IF($E196="Cuidado Facial",$G196,NA())</f>
        <v>#N/A</v>
      </c>
      <c r="Q196" t="e">
        <f>IF($E196="Cuidado Facial",$H196,NA())</f>
        <v>#N/A</v>
      </c>
      <c r="R196" t="e">
        <f>IF($E196="Capilar",$G196,NA())</f>
        <v>#N/A</v>
      </c>
      <c r="S196" t="e">
        <f>IF($E196="Capilar",$H196,NA())</f>
        <v>#N/A</v>
      </c>
      <c r="T196" s="6" t="str">
        <f t="shared" si="3"/>
        <v>Octubre</v>
      </c>
    </row>
    <row r="197" spans="1:20" ht="15" customHeight="1" x14ac:dyDescent="0.25">
      <c r="A197" s="5">
        <v>46228</v>
      </c>
      <c r="B197" s="6" t="s">
        <v>38</v>
      </c>
      <c r="C197" s="6" t="s">
        <v>31</v>
      </c>
      <c r="D197" s="6" t="s">
        <v>49</v>
      </c>
      <c r="E197" s="6" t="s">
        <v>40</v>
      </c>
      <c r="F197" s="6">
        <v>11</v>
      </c>
      <c r="G197" s="7">
        <v>1726.93</v>
      </c>
      <c r="H197" s="7">
        <v>912.8</v>
      </c>
      <c r="I197" s="7">
        <v>18996.23</v>
      </c>
      <c r="J197" s="7">
        <v>10040.799999999999</v>
      </c>
      <c r="K197" s="7">
        <v>8955.43</v>
      </c>
      <c r="L197" t="e">
        <f>IF($E197="Maquillaje",$G197,NA())</f>
        <v>#N/A</v>
      </c>
      <c r="M197" t="e">
        <f>IF($E197="Maquillaje",$H197,NA())</f>
        <v>#N/A</v>
      </c>
      <c r="N197" t="e">
        <f>IF($E197="Perfumería",$G197,NA())</f>
        <v>#N/A</v>
      </c>
      <c r="O197" t="e">
        <f>IF($E197="Perfumería",$H197,NA())</f>
        <v>#N/A</v>
      </c>
      <c r="P197" s="8">
        <f>IF($E197="Cuidado Facial",$G197,NA())</f>
        <v>1726.93</v>
      </c>
      <c r="Q197" s="8">
        <f>IF($E197="Cuidado Facial",$H197,NA())</f>
        <v>912.8</v>
      </c>
      <c r="R197" t="e">
        <f>IF($E197="Capilar",$G197,NA())</f>
        <v>#N/A</v>
      </c>
      <c r="S197" t="e">
        <f>IF($E197="Capilar",$H197,NA())</f>
        <v>#N/A</v>
      </c>
      <c r="T197" s="6" t="str">
        <f t="shared" si="3"/>
        <v>Julio</v>
      </c>
    </row>
    <row r="198" spans="1:20" ht="15" customHeight="1" x14ac:dyDescent="0.25">
      <c r="A198" s="5">
        <v>46176</v>
      </c>
      <c r="B198" s="6" t="s">
        <v>38</v>
      </c>
      <c r="C198" s="6" t="s">
        <v>31</v>
      </c>
      <c r="D198" s="6" t="s">
        <v>32</v>
      </c>
      <c r="E198" s="6" t="s">
        <v>33</v>
      </c>
      <c r="F198" s="6">
        <v>12</v>
      </c>
      <c r="G198" s="7">
        <v>3364.19</v>
      </c>
      <c r="H198" s="7">
        <v>1604.82</v>
      </c>
      <c r="I198" s="7">
        <v>40370.28</v>
      </c>
      <c r="J198" s="7">
        <v>19257.84</v>
      </c>
      <c r="K198" s="7">
        <v>21112.44</v>
      </c>
      <c r="L198" t="e">
        <f>IF($E198="Maquillaje",$G198,NA())</f>
        <v>#N/A</v>
      </c>
      <c r="M198" t="e">
        <f>IF($E198="Maquillaje",$H198,NA())</f>
        <v>#N/A</v>
      </c>
      <c r="N198" s="8">
        <f>IF($E198="Perfumería",$G198,NA())</f>
        <v>3364.19</v>
      </c>
      <c r="O198" s="8">
        <f>IF($E198="Perfumería",$H198,NA())</f>
        <v>1604.82</v>
      </c>
      <c r="P198" t="e">
        <f>IF($E198="Cuidado Facial",$G198,NA())</f>
        <v>#N/A</v>
      </c>
      <c r="Q198" t="e">
        <f>IF($E198="Cuidado Facial",$H198,NA())</f>
        <v>#N/A</v>
      </c>
      <c r="R198" t="e">
        <f>IF($E198="Capilar",$G198,NA())</f>
        <v>#N/A</v>
      </c>
      <c r="S198" t="e">
        <f>IF($E198="Capilar",$H198,NA())</f>
        <v>#N/A</v>
      </c>
      <c r="T198" s="6" t="str">
        <f t="shared" si="3"/>
        <v>Junio</v>
      </c>
    </row>
    <row r="199" spans="1:20" ht="15" customHeight="1" x14ac:dyDescent="0.25">
      <c r="A199" s="5">
        <v>46236</v>
      </c>
      <c r="B199" s="6" t="s">
        <v>30</v>
      </c>
      <c r="C199" s="6" t="s">
        <v>35</v>
      </c>
      <c r="D199" s="6" t="s">
        <v>42</v>
      </c>
      <c r="E199" s="6" t="s">
        <v>43</v>
      </c>
      <c r="F199" s="6">
        <v>2</v>
      </c>
      <c r="G199" s="7">
        <v>898.18</v>
      </c>
      <c r="H199" s="7">
        <v>524.98</v>
      </c>
      <c r="I199" s="7">
        <v>1796.36</v>
      </c>
      <c r="J199" s="7">
        <v>1049.96</v>
      </c>
      <c r="K199" s="7">
        <v>746.4</v>
      </c>
      <c r="L199" t="e">
        <f>IF($E199="Maquillaje",$G199,NA())</f>
        <v>#N/A</v>
      </c>
      <c r="M199" t="e">
        <f>IF($E199="Maquillaje",$H199,NA())</f>
        <v>#N/A</v>
      </c>
      <c r="N199" t="e">
        <f>IF($E199="Perfumería",$G199,NA())</f>
        <v>#N/A</v>
      </c>
      <c r="O199" t="e">
        <f>IF($E199="Perfumería",$H199,NA())</f>
        <v>#N/A</v>
      </c>
      <c r="P199" t="e">
        <f>IF($E199="Cuidado Facial",$G199,NA())</f>
        <v>#N/A</v>
      </c>
      <c r="Q199" t="e">
        <f>IF($E199="Cuidado Facial",$H199,NA())</f>
        <v>#N/A</v>
      </c>
      <c r="R199" s="8">
        <f>IF($E199="Capilar",$G199,NA())</f>
        <v>898.18</v>
      </c>
      <c r="S199" s="8">
        <f>IF($E199="Capilar",$H199,NA())</f>
        <v>524.98</v>
      </c>
      <c r="T199" s="6" t="str">
        <f t="shared" si="3"/>
        <v>Agosto</v>
      </c>
    </row>
    <row r="200" spans="1:20" ht="15" customHeight="1" x14ac:dyDescent="0.25">
      <c r="A200" s="5">
        <v>46152</v>
      </c>
      <c r="B200" s="6" t="s">
        <v>30</v>
      </c>
      <c r="C200" s="6" t="s">
        <v>35</v>
      </c>
      <c r="D200" s="6" t="s">
        <v>45</v>
      </c>
      <c r="E200" s="6" t="s">
        <v>43</v>
      </c>
      <c r="F200" s="6">
        <v>9</v>
      </c>
      <c r="G200" s="7">
        <v>1090.79</v>
      </c>
      <c r="H200" s="7">
        <v>564.62</v>
      </c>
      <c r="I200" s="7">
        <v>9817.11</v>
      </c>
      <c r="J200" s="7">
        <v>5081.58</v>
      </c>
      <c r="K200" s="7">
        <v>4735.53</v>
      </c>
      <c r="L200" t="e">
        <f>IF($E200="Maquillaje",$G200,NA())</f>
        <v>#N/A</v>
      </c>
      <c r="M200" t="e">
        <f>IF($E200="Maquillaje",$H200,NA())</f>
        <v>#N/A</v>
      </c>
      <c r="N200" t="e">
        <f>IF($E200="Perfumería",$G200,NA())</f>
        <v>#N/A</v>
      </c>
      <c r="O200" t="e">
        <f>IF($E200="Perfumería",$H200,NA())</f>
        <v>#N/A</v>
      </c>
      <c r="P200" t="e">
        <f>IF($E200="Cuidado Facial",$G200,NA())</f>
        <v>#N/A</v>
      </c>
      <c r="Q200" t="e">
        <f>IF($E200="Cuidado Facial",$H200,NA())</f>
        <v>#N/A</v>
      </c>
      <c r="R200" s="8">
        <f>IF($E200="Capilar",$G200,NA())</f>
        <v>1090.79</v>
      </c>
      <c r="S200" s="8">
        <f>IF($E200="Capilar",$H200,NA())</f>
        <v>564.62</v>
      </c>
      <c r="T200" s="6" t="str">
        <f t="shared" si="3"/>
        <v>Mayo</v>
      </c>
    </row>
    <row r="201" spans="1:20" ht="15" customHeight="1" x14ac:dyDescent="0.25">
      <c r="A201" s="5">
        <v>46313</v>
      </c>
      <c r="B201" s="6" t="s">
        <v>41</v>
      </c>
      <c r="C201" s="6" t="s">
        <v>35</v>
      </c>
      <c r="D201" s="6" t="s">
        <v>47</v>
      </c>
      <c r="E201" s="6" t="s">
        <v>33</v>
      </c>
      <c r="F201" s="6">
        <v>9</v>
      </c>
      <c r="G201" s="7">
        <v>3204.63</v>
      </c>
      <c r="H201" s="7">
        <v>1708.34</v>
      </c>
      <c r="I201" s="7">
        <v>28841.67</v>
      </c>
      <c r="J201" s="7">
        <v>15375.06</v>
      </c>
      <c r="K201" s="7">
        <v>13466.61</v>
      </c>
      <c r="L201" t="e">
        <f>IF($E201="Maquillaje",$G201,NA())</f>
        <v>#N/A</v>
      </c>
      <c r="M201" t="e">
        <f>IF($E201="Maquillaje",$H201,NA())</f>
        <v>#N/A</v>
      </c>
      <c r="N201" s="8">
        <f>IF($E201="Perfumería",$G201,NA())</f>
        <v>3204.63</v>
      </c>
      <c r="O201" s="8">
        <f>IF($E201="Perfumería",$H201,NA())</f>
        <v>1708.34</v>
      </c>
      <c r="P201" t="e">
        <f>IF($E201="Cuidado Facial",$G201,NA())</f>
        <v>#N/A</v>
      </c>
      <c r="Q201" t="e">
        <f>IF($E201="Cuidado Facial",$H201,NA())</f>
        <v>#N/A</v>
      </c>
      <c r="R201" t="e">
        <f>IF($E201="Capilar",$G201,NA())</f>
        <v>#N/A</v>
      </c>
      <c r="S201" t="e">
        <f>IF($E201="Capilar",$H201,NA())</f>
        <v>#N/A</v>
      </c>
      <c r="T201" s="6" t="str">
        <f t="shared" si="3"/>
        <v>Octubre</v>
      </c>
    </row>
    <row r="202" spans="1:20" ht="15" customHeight="1" x14ac:dyDescent="0.25">
      <c r="A202" s="5">
        <v>46286</v>
      </c>
      <c r="B202" s="6" t="s">
        <v>38</v>
      </c>
      <c r="C202" s="6" t="s">
        <v>31</v>
      </c>
      <c r="D202" s="6" t="s">
        <v>32</v>
      </c>
      <c r="E202" s="6" t="s">
        <v>33</v>
      </c>
      <c r="F202" s="6">
        <v>8</v>
      </c>
      <c r="G202" s="7">
        <v>3586.99</v>
      </c>
      <c r="H202" s="7">
        <v>1622.88</v>
      </c>
      <c r="I202" s="7">
        <v>28695.919999999998</v>
      </c>
      <c r="J202" s="7">
        <v>12983.04</v>
      </c>
      <c r="K202" s="7">
        <v>15712.88</v>
      </c>
      <c r="L202" t="e">
        <f>IF($E202="Maquillaje",$G202,NA())</f>
        <v>#N/A</v>
      </c>
      <c r="M202" t="e">
        <f>IF($E202="Maquillaje",$H202,NA())</f>
        <v>#N/A</v>
      </c>
      <c r="N202" s="8">
        <f>IF($E202="Perfumería",$G202,NA())</f>
        <v>3586.99</v>
      </c>
      <c r="O202" s="8">
        <f>IF($E202="Perfumería",$H202,NA())</f>
        <v>1622.88</v>
      </c>
      <c r="P202" t="e">
        <f>IF($E202="Cuidado Facial",$G202,NA())</f>
        <v>#N/A</v>
      </c>
      <c r="Q202" t="e">
        <f>IF($E202="Cuidado Facial",$H202,NA())</f>
        <v>#N/A</v>
      </c>
      <c r="R202" t="e">
        <f>IF($E202="Capilar",$G202,NA())</f>
        <v>#N/A</v>
      </c>
      <c r="S202" t="e">
        <f>IF($E202="Capilar",$H202,NA())</f>
        <v>#N/A</v>
      </c>
      <c r="T202" s="6" t="str">
        <f t="shared" si="3"/>
        <v>Septiembre</v>
      </c>
    </row>
    <row r="203" spans="1:20" ht="15" customHeight="1" x14ac:dyDescent="0.25">
      <c r="A203" s="5">
        <v>46213</v>
      </c>
      <c r="B203" s="6" t="s">
        <v>46</v>
      </c>
      <c r="C203" s="6" t="s">
        <v>31</v>
      </c>
      <c r="D203" s="6" t="s">
        <v>39</v>
      </c>
      <c r="E203" s="6" t="s">
        <v>40</v>
      </c>
      <c r="F203" s="6">
        <v>12</v>
      </c>
      <c r="G203" s="7">
        <v>1946.95</v>
      </c>
      <c r="H203" s="7">
        <v>1135.79</v>
      </c>
      <c r="I203" s="7">
        <v>23363.4</v>
      </c>
      <c r="J203" s="7">
        <v>13629.48</v>
      </c>
      <c r="K203" s="7">
        <v>9733.92</v>
      </c>
      <c r="L203" t="e">
        <f>IF($E203="Maquillaje",$G203,NA())</f>
        <v>#N/A</v>
      </c>
      <c r="M203" t="e">
        <f>IF($E203="Maquillaje",$H203,NA())</f>
        <v>#N/A</v>
      </c>
      <c r="N203" t="e">
        <f>IF($E203="Perfumería",$G203,NA())</f>
        <v>#N/A</v>
      </c>
      <c r="O203" t="e">
        <f>IF($E203="Perfumería",$H203,NA())</f>
        <v>#N/A</v>
      </c>
      <c r="P203" s="8">
        <f>IF($E203="Cuidado Facial",$G203,NA())</f>
        <v>1946.95</v>
      </c>
      <c r="Q203" s="8">
        <f>IF($E203="Cuidado Facial",$H203,NA())</f>
        <v>1135.79</v>
      </c>
      <c r="R203" t="e">
        <f>IF($E203="Capilar",$G203,NA())</f>
        <v>#N/A</v>
      </c>
      <c r="S203" t="e">
        <f>IF($E203="Capilar",$H203,NA())</f>
        <v>#N/A</v>
      </c>
      <c r="T203" s="6" t="str">
        <f t="shared" si="3"/>
        <v>Julio</v>
      </c>
    </row>
    <row r="204" spans="1:20" ht="15" customHeight="1" x14ac:dyDescent="0.25">
      <c r="A204" s="5">
        <v>46081</v>
      </c>
      <c r="B204" s="6" t="s">
        <v>41</v>
      </c>
      <c r="C204" s="6" t="s">
        <v>35</v>
      </c>
      <c r="D204" s="6" t="s">
        <v>49</v>
      </c>
      <c r="E204" s="6" t="s">
        <v>40</v>
      </c>
      <c r="F204" s="6">
        <v>11</v>
      </c>
      <c r="G204" s="7">
        <v>1624.19</v>
      </c>
      <c r="H204" s="7">
        <v>856.01</v>
      </c>
      <c r="I204" s="7">
        <v>17866.09</v>
      </c>
      <c r="J204" s="7">
        <v>9416.11</v>
      </c>
      <c r="K204" s="7">
        <v>8449.98</v>
      </c>
      <c r="L204" t="e">
        <f>IF($E204="Maquillaje",$G204,NA())</f>
        <v>#N/A</v>
      </c>
      <c r="M204" t="e">
        <f>IF($E204="Maquillaje",$H204,NA())</f>
        <v>#N/A</v>
      </c>
      <c r="N204" t="e">
        <f>IF($E204="Perfumería",$G204,NA())</f>
        <v>#N/A</v>
      </c>
      <c r="O204" t="e">
        <f>IF($E204="Perfumería",$H204,NA())</f>
        <v>#N/A</v>
      </c>
      <c r="P204" s="8">
        <f>IF($E204="Cuidado Facial",$G204,NA())</f>
        <v>1624.19</v>
      </c>
      <c r="Q204" s="8">
        <f>IF($E204="Cuidado Facial",$H204,NA())</f>
        <v>856.01</v>
      </c>
      <c r="R204" t="e">
        <f>IF($E204="Capilar",$G204,NA())</f>
        <v>#N/A</v>
      </c>
      <c r="S204" t="e">
        <f>IF($E204="Capilar",$H204,NA())</f>
        <v>#N/A</v>
      </c>
      <c r="T204" s="6" t="str">
        <f t="shared" si="3"/>
        <v>Febrero</v>
      </c>
    </row>
    <row r="205" spans="1:20" ht="15" customHeight="1" x14ac:dyDescent="0.25">
      <c r="A205" s="5">
        <v>46204</v>
      </c>
      <c r="B205" s="6" t="s">
        <v>41</v>
      </c>
      <c r="C205" s="6" t="s">
        <v>35</v>
      </c>
      <c r="D205" s="6" t="s">
        <v>36</v>
      </c>
      <c r="E205" s="6" t="s">
        <v>37</v>
      </c>
      <c r="F205" s="6">
        <v>8</v>
      </c>
      <c r="G205" s="7">
        <v>1337.02</v>
      </c>
      <c r="H205" s="7">
        <v>826.91</v>
      </c>
      <c r="I205" s="7">
        <v>10696.16</v>
      </c>
      <c r="J205" s="7">
        <v>6615.28</v>
      </c>
      <c r="K205" s="7">
        <v>4080.88</v>
      </c>
      <c r="L205" s="8">
        <f>IF($E205="Maquillaje",$G205,NA())</f>
        <v>1337.02</v>
      </c>
      <c r="M205" s="8">
        <f>IF($E205="Maquillaje",$H205,NA())</f>
        <v>826.91</v>
      </c>
      <c r="N205" t="e">
        <f>IF($E205="Perfumería",$G205,NA())</f>
        <v>#N/A</v>
      </c>
      <c r="O205" t="e">
        <f>IF($E205="Perfumería",$H205,NA())</f>
        <v>#N/A</v>
      </c>
      <c r="P205" t="e">
        <f>IF($E205="Cuidado Facial",$G205,NA())</f>
        <v>#N/A</v>
      </c>
      <c r="Q205" t="e">
        <f>IF($E205="Cuidado Facial",$H205,NA())</f>
        <v>#N/A</v>
      </c>
      <c r="R205" t="e">
        <f>IF($E205="Capilar",$G205,NA())</f>
        <v>#N/A</v>
      </c>
      <c r="S205" t="e">
        <f>IF($E205="Capilar",$H205,NA())</f>
        <v>#N/A</v>
      </c>
      <c r="T205" s="6" t="str">
        <f t="shared" si="3"/>
        <v>Julio</v>
      </c>
    </row>
    <row r="206" spans="1:20" ht="15" customHeight="1" x14ac:dyDescent="0.25">
      <c r="A206" s="5">
        <v>46041</v>
      </c>
      <c r="B206" s="6" t="s">
        <v>46</v>
      </c>
      <c r="C206" s="6" t="s">
        <v>31</v>
      </c>
      <c r="D206" s="6" t="s">
        <v>47</v>
      </c>
      <c r="E206" s="6" t="s">
        <v>33</v>
      </c>
      <c r="F206" s="6">
        <v>14</v>
      </c>
      <c r="G206" s="7">
        <v>3167.1</v>
      </c>
      <c r="H206" s="7">
        <v>1513.35</v>
      </c>
      <c r="I206" s="7">
        <v>44339.4</v>
      </c>
      <c r="J206" s="7">
        <v>21186.9</v>
      </c>
      <c r="K206" s="7">
        <v>23152.5</v>
      </c>
      <c r="L206" t="e">
        <f>IF($E206="Maquillaje",$G206,NA())</f>
        <v>#N/A</v>
      </c>
      <c r="M206" t="e">
        <f>IF($E206="Maquillaje",$H206,NA())</f>
        <v>#N/A</v>
      </c>
      <c r="N206" s="8">
        <f>IF($E206="Perfumería",$G206,NA())</f>
        <v>3167.1</v>
      </c>
      <c r="O206" s="8">
        <f>IF($E206="Perfumería",$H206,NA())</f>
        <v>1513.35</v>
      </c>
      <c r="P206" t="e">
        <f>IF($E206="Cuidado Facial",$G206,NA())</f>
        <v>#N/A</v>
      </c>
      <c r="Q206" t="e">
        <f>IF($E206="Cuidado Facial",$H206,NA())</f>
        <v>#N/A</v>
      </c>
      <c r="R206" t="e">
        <f>IF($E206="Capilar",$G206,NA())</f>
        <v>#N/A</v>
      </c>
      <c r="S206" t="e">
        <f>IF($E206="Capilar",$H206,NA())</f>
        <v>#N/A</v>
      </c>
      <c r="T206" s="6" t="str">
        <f t="shared" si="3"/>
        <v>Enero</v>
      </c>
    </row>
    <row r="207" spans="1:20" ht="15" customHeight="1" x14ac:dyDescent="0.25">
      <c r="A207" s="5">
        <v>46293</v>
      </c>
      <c r="B207" s="6" t="s">
        <v>30</v>
      </c>
      <c r="C207" s="6" t="s">
        <v>35</v>
      </c>
      <c r="D207" s="6" t="s">
        <v>32</v>
      </c>
      <c r="E207" s="6" t="s">
        <v>33</v>
      </c>
      <c r="F207" s="6">
        <v>14</v>
      </c>
      <c r="G207" s="7">
        <v>3305.47</v>
      </c>
      <c r="H207" s="7">
        <v>1738.72</v>
      </c>
      <c r="I207" s="7">
        <v>46276.58</v>
      </c>
      <c r="J207" s="7">
        <v>24342.080000000002</v>
      </c>
      <c r="K207" s="7">
        <v>21934.5</v>
      </c>
      <c r="L207" t="e">
        <f>IF($E207="Maquillaje",$G207,NA())</f>
        <v>#N/A</v>
      </c>
      <c r="M207" t="e">
        <f>IF($E207="Maquillaje",$H207,NA())</f>
        <v>#N/A</v>
      </c>
      <c r="N207" s="8">
        <f>IF($E207="Perfumería",$G207,NA())</f>
        <v>3305.47</v>
      </c>
      <c r="O207" s="8">
        <f>IF($E207="Perfumería",$H207,NA())</f>
        <v>1738.72</v>
      </c>
      <c r="P207" t="e">
        <f>IF($E207="Cuidado Facial",$G207,NA())</f>
        <v>#N/A</v>
      </c>
      <c r="Q207" t="e">
        <f>IF($E207="Cuidado Facial",$H207,NA())</f>
        <v>#N/A</v>
      </c>
      <c r="R207" t="e">
        <f>IF($E207="Capilar",$G207,NA())</f>
        <v>#N/A</v>
      </c>
      <c r="S207" t="e">
        <f>IF($E207="Capilar",$H207,NA())</f>
        <v>#N/A</v>
      </c>
      <c r="T207" s="6" t="str">
        <f t="shared" si="3"/>
        <v>Septiembre</v>
      </c>
    </row>
    <row r="208" spans="1:20" ht="15" customHeight="1" x14ac:dyDescent="0.25">
      <c r="A208" s="5">
        <v>46026</v>
      </c>
      <c r="B208" s="6" t="s">
        <v>34</v>
      </c>
      <c r="C208" s="6" t="s">
        <v>35</v>
      </c>
      <c r="D208" s="6" t="s">
        <v>44</v>
      </c>
      <c r="E208" s="6" t="s">
        <v>37</v>
      </c>
      <c r="F208" s="6">
        <v>8</v>
      </c>
      <c r="G208" s="7">
        <v>1290.31</v>
      </c>
      <c r="H208" s="7">
        <v>664.13</v>
      </c>
      <c r="I208" s="7">
        <v>10322.48</v>
      </c>
      <c r="J208" s="7">
        <v>5313.04</v>
      </c>
      <c r="K208" s="7">
        <v>5009.4399999999996</v>
      </c>
      <c r="L208" s="8">
        <f>IF($E208="Maquillaje",$G208,NA())</f>
        <v>1290.31</v>
      </c>
      <c r="M208" s="8">
        <f>IF($E208="Maquillaje",$H208,NA())</f>
        <v>664.13</v>
      </c>
      <c r="N208" t="e">
        <f>IF($E208="Perfumería",$G208,NA())</f>
        <v>#N/A</v>
      </c>
      <c r="O208" t="e">
        <f>IF($E208="Perfumería",$H208,NA())</f>
        <v>#N/A</v>
      </c>
      <c r="P208" t="e">
        <f>IF($E208="Cuidado Facial",$G208,NA())</f>
        <v>#N/A</v>
      </c>
      <c r="Q208" t="e">
        <f>IF($E208="Cuidado Facial",$H208,NA())</f>
        <v>#N/A</v>
      </c>
      <c r="R208" t="e">
        <f>IF($E208="Capilar",$G208,NA())</f>
        <v>#N/A</v>
      </c>
      <c r="S208" t="e">
        <f>IF($E208="Capilar",$H208,NA())</f>
        <v>#N/A</v>
      </c>
      <c r="T208" s="6" t="str">
        <f t="shared" si="3"/>
        <v>Enero</v>
      </c>
    </row>
    <row r="209" spans="1:20" ht="15" customHeight="1" x14ac:dyDescent="0.25">
      <c r="A209" s="5">
        <v>46219</v>
      </c>
      <c r="B209" s="6" t="s">
        <v>46</v>
      </c>
      <c r="C209" s="6" t="s">
        <v>31</v>
      </c>
      <c r="D209" s="6" t="s">
        <v>47</v>
      </c>
      <c r="E209" s="6" t="s">
        <v>33</v>
      </c>
      <c r="F209" s="6">
        <v>1</v>
      </c>
      <c r="G209" s="7">
        <v>3465.64</v>
      </c>
      <c r="H209" s="7">
        <v>1728.84</v>
      </c>
      <c r="I209" s="7">
        <v>3465.64</v>
      </c>
      <c r="J209" s="7">
        <v>1728.84</v>
      </c>
      <c r="K209" s="7">
        <v>1736.8</v>
      </c>
      <c r="L209" t="e">
        <f>IF($E209="Maquillaje",$G209,NA())</f>
        <v>#N/A</v>
      </c>
      <c r="M209" t="e">
        <f>IF($E209="Maquillaje",$H209,NA())</f>
        <v>#N/A</v>
      </c>
      <c r="N209" s="8">
        <f>IF($E209="Perfumería",$G209,NA())</f>
        <v>3465.64</v>
      </c>
      <c r="O209" s="8">
        <f>IF($E209="Perfumería",$H209,NA())</f>
        <v>1728.84</v>
      </c>
      <c r="P209" t="e">
        <f>IF($E209="Cuidado Facial",$G209,NA())</f>
        <v>#N/A</v>
      </c>
      <c r="Q209" t="e">
        <f>IF($E209="Cuidado Facial",$H209,NA())</f>
        <v>#N/A</v>
      </c>
      <c r="R209" t="e">
        <f>IF($E209="Capilar",$G209,NA())</f>
        <v>#N/A</v>
      </c>
      <c r="S209" t="e">
        <f>IF($E209="Capilar",$H209,NA())</f>
        <v>#N/A</v>
      </c>
      <c r="T209" s="6" t="str">
        <f t="shared" si="3"/>
        <v>Julio</v>
      </c>
    </row>
    <row r="210" spans="1:20" ht="15" customHeight="1" x14ac:dyDescent="0.25">
      <c r="A210" s="5">
        <v>46315</v>
      </c>
      <c r="B210" s="6" t="s">
        <v>34</v>
      </c>
      <c r="C210" s="6" t="s">
        <v>35</v>
      </c>
      <c r="D210" s="6" t="s">
        <v>47</v>
      </c>
      <c r="E210" s="6" t="s">
        <v>33</v>
      </c>
      <c r="F210" s="6">
        <v>2</v>
      </c>
      <c r="G210" s="7">
        <v>3074.56</v>
      </c>
      <c r="H210" s="7">
        <v>1684.27</v>
      </c>
      <c r="I210" s="7">
        <v>6149.12</v>
      </c>
      <c r="J210" s="7">
        <v>3368.54</v>
      </c>
      <c r="K210" s="7">
        <v>2780.58</v>
      </c>
      <c r="L210" t="e">
        <f>IF($E210="Maquillaje",$G210,NA())</f>
        <v>#N/A</v>
      </c>
      <c r="M210" t="e">
        <f>IF($E210="Maquillaje",$H210,NA())</f>
        <v>#N/A</v>
      </c>
      <c r="N210" s="8">
        <f>IF($E210="Perfumería",$G210,NA())</f>
        <v>3074.56</v>
      </c>
      <c r="O210" s="8">
        <f>IF($E210="Perfumería",$H210,NA())</f>
        <v>1684.27</v>
      </c>
      <c r="P210" t="e">
        <f>IF($E210="Cuidado Facial",$G210,NA())</f>
        <v>#N/A</v>
      </c>
      <c r="Q210" t="e">
        <f>IF($E210="Cuidado Facial",$H210,NA())</f>
        <v>#N/A</v>
      </c>
      <c r="R210" t="e">
        <f>IF($E210="Capilar",$G210,NA())</f>
        <v>#N/A</v>
      </c>
      <c r="S210" t="e">
        <f>IF($E210="Capilar",$H210,NA())</f>
        <v>#N/A</v>
      </c>
      <c r="T210" s="6" t="str">
        <f t="shared" si="3"/>
        <v>Octubre</v>
      </c>
    </row>
    <row r="211" spans="1:20" ht="15" customHeight="1" x14ac:dyDescent="0.25">
      <c r="A211" s="5">
        <v>46202</v>
      </c>
      <c r="B211" s="6" t="s">
        <v>46</v>
      </c>
      <c r="C211" s="6" t="s">
        <v>31</v>
      </c>
      <c r="D211" s="6" t="s">
        <v>44</v>
      </c>
      <c r="E211" s="6" t="s">
        <v>37</v>
      </c>
      <c r="F211" s="6">
        <v>6</v>
      </c>
      <c r="G211" s="7">
        <v>1241.22</v>
      </c>
      <c r="H211" s="7">
        <v>699.88</v>
      </c>
      <c r="I211" s="7">
        <v>7447.32</v>
      </c>
      <c r="J211" s="7">
        <v>4199.28</v>
      </c>
      <c r="K211" s="7">
        <v>3248.04</v>
      </c>
      <c r="L211" s="8">
        <f>IF($E211="Maquillaje",$G211,NA())</f>
        <v>1241.22</v>
      </c>
      <c r="M211" s="8">
        <f>IF($E211="Maquillaje",$H211,NA())</f>
        <v>699.88</v>
      </c>
      <c r="N211" t="e">
        <f>IF($E211="Perfumería",$G211,NA())</f>
        <v>#N/A</v>
      </c>
      <c r="O211" t="e">
        <f>IF($E211="Perfumería",$H211,NA())</f>
        <v>#N/A</v>
      </c>
      <c r="P211" t="e">
        <f>IF($E211="Cuidado Facial",$G211,NA())</f>
        <v>#N/A</v>
      </c>
      <c r="Q211" t="e">
        <f>IF($E211="Cuidado Facial",$H211,NA())</f>
        <v>#N/A</v>
      </c>
      <c r="R211" t="e">
        <f>IF($E211="Capilar",$G211,NA())</f>
        <v>#N/A</v>
      </c>
      <c r="S211" t="e">
        <f>IF($E211="Capilar",$H211,NA())</f>
        <v>#N/A</v>
      </c>
      <c r="T211" s="6" t="str">
        <f t="shared" si="3"/>
        <v>Junio</v>
      </c>
    </row>
    <row r="212" spans="1:20" ht="15" customHeight="1" x14ac:dyDescent="0.25">
      <c r="A212" s="5">
        <v>46143</v>
      </c>
      <c r="B212" s="6" t="s">
        <v>30</v>
      </c>
      <c r="C212" s="6" t="s">
        <v>48</v>
      </c>
      <c r="D212" s="6" t="s">
        <v>44</v>
      </c>
      <c r="E212" s="6" t="s">
        <v>37</v>
      </c>
      <c r="F212" s="6">
        <v>8</v>
      </c>
      <c r="G212" s="7">
        <v>1177.2</v>
      </c>
      <c r="H212" s="7">
        <v>636.49</v>
      </c>
      <c r="I212" s="7">
        <v>9417.6</v>
      </c>
      <c r="J212" s="7">
        <v>5091.92</v>
      </c>
      <c r="K212" s="7">
        <v>4325.68</v>
      </c>
      <c r="L212" s="8">
        <f>IF($E212="Maquillaje",$G212,NA())</f>
        <v>1177.2</v>
      </c>
      <c r="M212" s="8">
        <f>IF($E212="Maquillaje",$H212,NA())</f>
        <v>636.49</v>
      </c>
      <c r="N212" t="e">
        <f>IF($E212="Perfumería",$G212,NA())</f>
        <v>#N/A</v>
      </c>
      <c r="O212" t="e">
        <f>IF($E212="Perfumería",$H212,NA())</f>
        <v>#N/A</v>
      </c>
      <c r="P212" t="e">
        <f>IF($E212="Cuidado Facial",$G212,NA())</f>
        <v>#N/A</v>
      </c>
      <c r="Q212" t="e">
        <f>IF($E212="Cuidado Facial",$H212,NA())</f>
        <v>#N/A</v>
      </c>
      <c r="R212" t="e">
        <f>IF($E212="Capilar",$G212,NA())</f>
        <v>#N/A</v>
      </c>
      <c r="S212" t="e">
        <f>IF($E212="Capilar",$H212,NA())</f>
        <v>#N/A</v>
      </c>
      <c r="T212" s="6" t="str">
        <f t="shared" si="3"/>
        <v>Mayo</v>
      </c>
    </row>
    <row r="213" spans="1:20" ht="15" customHeight="1" x14ac:dyDescent="0.25">
      <c r="A213" s="5">
        <v>46096</v>
      </c>
      <c r="B213" s="6" t="s">
        <v>41</v>
      </c>
      <c r="C213" s="6" t="s">
        <v>35</v>
      </c>
      <c r="D213" s="6" t="s">
        <v>36</v>
      </c>
      <c r="E213" s="6" t="s">
        <v>37</v>
      </c>
      <c r="F213" s="6">
        <v>10</v>
      </c>
      <c r="G213" s="7">
        <v>1573.19</v>
      </c>
      <c r="H213" s="7">
        <v>793.25</v>
      </c>
      <c r="I213" s="7">
        <v>15731.9</v>
      </c>
      <c r="J213" s="7">
        <v>7932.5</v>
      </c>
      <c r="K213" s="7">
        <v>7799.4</v>
      </c>
      <c r="L213" s="8">
        <f>IF($E213="Maquillaje",$G213,NA())</f>
        <v>1573.19</v>
      </c>
      <c r="M213" s="8">
        <f>IF($E213="Maquillaje",$H213,NA())</f>
        <v>793.25</v>
      </c>
      <c r="N213" t="e">
        <f>IF($E213="Perfumería",$G213,NA())</f>
        <v>#N/A</v>
      </c>
      <c r="O213" t="e">
        <f>IF($E213="Perfumería",$H213,NA())</f>
        <v>#N/A</v>
      </c>
      <c r="P213" t="e">
        <f>IF($E213="Cuidado Facial",$G213,NA())</f>
        <v>#N/A</v>
      </c>
      <c r="Q213" t="e">
        <f>IF($E213="Cuidado Facial",$H213,NA())</f>
        <v>#N/A</v>
      </c>
      <c r="R213" t="e">
        <f>IF($E213="Capilar",$G213,NA())</f>
        <v>#N/A</v>
      </c>
      <c r="S213" t="e">
        <f>IF($E213="Capilar",$H213,NA())</f>
        <v>#N/A</v>
      </c>
      <c r="T213" s="6" t="str">
        <f t="shared" si="3"/>
        <v>Marzo</v>
      </c>
    </row>
    <row r="214" spans="1:20" ht="15" customHeight="1" x14ac:dyDescent="0.25">
      <c r="A214" s="5">
        <v>46376</v>
      </c>
      <c r="B214" s="6" t="s">
        <v>30</v>
      </c>
      <c r="C214" s="6" t="s">
        <v>31</v>
      </c>
      <c r="D214" s="6" t="s">
        <v>49</v>
      </c>
      <c r="E214" s="6" t="s">
        <v>40</v>
      </c>
      <c r="F214" s="6">
        <v>5</v>
      </c>
      <c r="G214" s="7">
        <v>1943.18</v>
      </c>
      <c r="H214" s="7">
        <v>908.37</v>
      </c>
      <c r="I214" s="7">
        <v>9715.9</v>
      </c>
      <c r="J214" s="7">
        <v>4541.8500000000004</v>
      </c>
      <c r="K214" s="7">
        <v>5174.05</v>
      </c>
      <c r="L214" t="e">
        <f>IF($E214="Maquillaje",$G214,NA())</f>
        <v>#N/A</v>
      </c>
      <c r="M214" t="e">
        <f>IF($E214="Maquillaje",$H214,NA())</f>
        <v>#N/A</v>
      </c>
      <c r="N214" t="e">
        <f>IF($E214="Perfumería",$G214,NA())</f>
        <v>#N/A</v>
      </c>
      <c r="O214" t="e">
        <f>IF($E214="Perfumería",$H214,NA())</f>
        <v>#N/A</v>
      </c>
      <c r="P214" s="8">
        <f>IF($E214="Cuidado Facial",$G214,NA())</f>
        <v>1943.18</v>
      </c>
      <c r="Q214" s="8">
        <f>IF($E214="Cuidado Facial",$H214,NA())</f>
        <v>908.37</v>
      </c>
      <c r="R214" t="e">
        <f>IF($E214="Capilar",$G214,NA())</f>
        <v>#N/A</v>
      </c>
      <c r="S214" t="e">
        <f>IF($E214="Capilar",$H214,NA())</f>
        <v>#N/A</v>
      </c>
      <c r="T214" s="6" t="str">
        <f t="shared" si="3"/>
        <v>Diciembre</v>
      </c>
    </row>
    <row r="215" spans="1:20" ht="15" customHeight="1" x14ac:dyDescent="0.25">
      <c r="A215" s="5">
        <v>46033</v>
      </c>
      <c r="B215" s="6" t="s">
        <v>34</v>
      </c>
      <c r="C215" s="6" t="s">
        <v>35</v>
      </c>
      <c r="D215" s="6" t="s">
        <v>39</v>
      </c>
      <c r="E215" s="6" t="s">
        <v>40</v>
      </c>
      <c r="F215" s="6">
        <v>11</v>
      </c>
      <c r="G215" s="7">
        <v>1931.82</v>
      </c>
      <c r="H215" s="7">
        <v>995.76</v>
      </c>
      <c r="I215" s="7">
        <v>21250.02</v>
      </c>
      <c r="J215" s="7">
        <v>10953.36</v>
      </c>
      <c r="K215" s="7">
        <v>10296.66</v>
      </c>
      <c r="L215" t="e">
        <f>IF($E215="Maquillaje",$G215,NA())</f>
        <v>#N/A</v>
      </c>
      <c r="M215" t="e">
        <f>IF($E215="Maquillaje",$H215,NA())</f>
        <v>#N/A</v>
      </c>
      <c r="N215" t="e">
        <f>IF($E215="Perfumería",$G215,NA())</f>
        <v>#N/A</v>
      </c>
      <c r="O215" t="e">
        <f>IF($E215="Perfumería",$H215,NA())</f>
        <v>#N/A</v>
      </c>
      <c r="P215" s="8">
        <f>IF($E215="Cuidado Facial",$G215,NA())</f>
        <v>1931.82</v>
      </c>
      <c r="Q215" s="8">
        <f>IF($E215="Cuidado Facial",$H215,NA())</f>
        <v>995.76</v>
      </c>
      <c r="R215" t="e">
        <f>IF($E215="Capilar",$G215,NA())</f>
        <v>#N/A</v>
      </c>
      <c r="S215" t="e">
        <f>IF($E215="Capilar",$H215,NA())</f>
        <v>#N/A</v>
      </c>
      <c r="T215" s="6" t="str">
        <f t="shared" si="3"/>
        <v>Enero</v>
      </c>
    </row>
    <row r="216" spans="1:20" ht="15" customHeight="1" x14ac:dyDescent="0.25">
      <c r="A216" s="5">
        <v>46060</v>
      </c>
      <c r="B216" s="6" t="s">
        <v>38</v>
      </c>
      <c r="C216" s="6" t="s">
        <v>31</v>
      </c>
      <c r="D216" s="6" t="s">
        <v>44</v>
      </c>
      <c r="E216" s="6" t="s">
        <v>37</v>
      </c>
      <c r="F216" s="6">
        <v>5</v>
      </c>
      <c r="G216" s="7">
        <v>1208.8699999999999</v>
      </c>
      <c r="H216" s="7">
        <v>698.81</v>
      </c>
      <c r="I216" s="7">
        <v>6044.35</v>
      </c>
      <c r="J216" s="7">
        <v>3494.05</v>
      </c>
      <c r="K216" s="7">
        <v>2550.3000000000002</v>
      </c>
      <c r="L216" s="8">
        <f>IF($E216="Maquillaje",$G216,NA())</f>
        <v>1208.8699999999999</v>
      </c>
      <c r="M216" s="8">
        <f>IF($E216="Maquillaje",$H216,NA())</f>
        <v>698.81</v>
      </c>
      <c r="N216" t="e">
        <f>IF($E216="Perfumería",$G216,NA())</f>
        <v>#N/A</v>
      </c>
      <c r="O216" t="e">
        <f>IF($E216="Perfumería",$H216,NA())</f>
        <v>#N/A</v>
      </c>
      <c r="P216" t="e">
        <f>IF($E216="Cuidado Facial",$G216,NA())</f>
        <v>#N/A</v>
      </c>
      <c r="Q216" t="e">
        <f>IF($E216="Cuidado Facial",$H216,NA())</f>
        <v>#N/A</v>
      </c>
      <c r="R216" t="e">
        <f>IF($E216="Capilar",$G216,NA())</f>
        <v>#N/A</v>
      </c>
      <c r="S216" t="e">
        <f>IF($E216="Capilar",$H216,NA())</f>
        <v>#N/A</v>
      </c>
      <c r="T216" s="6" t="str">
        <f t="shared" si="3"/>
        <v>Febrero</v>
      </c>
    </row>
    <row r="217" spans="1:20" ht="15" customHeight="1" x14ac:dyDescent="0.25">
      <c r="A217" s="5">
        <v>46190</v>
      </c>
      <c r="B217" s="6" t="s">
        <v>30</v>
      </c>
      <c r="C217" s="6" t="s">
        <v>31</v>
      </c>
      <c r="D217" s="6" t="s">
        <v>42</v>
      </c>
      <c r="E217" s="6" t="s">
        <v>43</v>
      </c>
      <c r="F217" s="6">
        <v>11</v>
      </c>
      <c r="G217" s="7">
        <v>1007.07</v>
      </c>
      <c r="H217" s="7">
        <v>448.75</v>
      </c>
      <c r="I217" s="7">
        <v>11077.77</v>
      </c>
      <c r="J217" s="7">
        <v>4936.25</v>
      </c>
      <c r="K217" s="7">
        <v>6141.52</v>
      </c>
      <c r="L217" t="e">
        <f>IF($E217="Maquillaje",$G217,NA())</f>
        <v>#N/A</v>
      </c>
      <c r="M217" t="e">
        <f>IF($E217="Maquillaje",$H217,NA())</f>
        <v>#N/A</v>
      </c>
      <c r="N217" t="e">
        <f>IF($E217="Perfumería",$G217,NA())</f>
        <v>#N/A</v>
      </c>
      <c r="O217" t="e">
        <f>IF($E217="Perfumería",$H217,NA())</f>
        <v>#N/A</v>
      </c>
      <c r="P217" t="e">
        <f>IF($E217="Cuidado Facial",$G217,NA())</f>
        <v>#N/A</v>
      </c>
      <c r="Q217" t="e">
        <f>IF($E217="Cuidado Facial",$H217,NA())</f>
        <v>#N/A</v>
      </c>
      <c r="R217" s="8">
        <f>IF($E217="Capilar",$G217,NA())</f>
        <v>1007.07</v>
      </c>
      <c r="S217" s="8">
        <f>IF($E217="Capilar",$H217,NA())</f>
        <v>448.75</v>
      </c>
      <c r="T217" s="6" t="str">
        <f t="shared" si="3"/>
        <v>Junio</v>
      </c>
    </row>
    <row r="218" spans="1:20" ht="15" customHeight="1" x14ac:dyDescent="0.25">
      <c r="A218" s="5">
        <v>46336</v>
      </c>
      <c r="B218" s="6" t="s">
        <v>41</v>
      </c>
      <c r="C218" s="6" t="s">
        <v>35</v>
      </c>
      <c r="D218" s="6" t="s">
        <v>45</v>
      </c>
      <c r="E218" s="6" t="s">
        <v>43</v>
      </c>
      <c r="F218" s="6">
        <v>1</v>
      </c>
      <c r="G218" s="7">
        <v>1193.56</v>
      </c>
      <c r="H218" s="7">
        <v>567.17999999999995</v>
      </c>
      <c r="I218" s="7">
        <v>1193.56</v>
      </c>
      <c r="J218" s="7">
        <v>567.17999999999995</v>
      </c>
      <c r="K218" s="7">
        <v>626.38</v>
      </c>
      <c r="L218" t="e">
        <f>IF($E218="Maquillaje",$G218,NA())</f>
        <v>#N/A</v>
      </c>
      <c r="M218" t="e">
        <f>IF($E218="Maquillaje",$H218,NA())</f>
        <v>#N/A</v>
      </c>
      <c r="N218" t="e">
        <f>IF($E218="Perfumería",$G218,NA())</f>
        <v>#N/A</v>
      </c>
      <c r="O218" t="e">
        <f>IF($E218="Perfumería",$H218,NA())</f>
        <v>#N/A</v>
      </c>
      <c r="P218" t="e">
        <f>IF($E218="Cuidado Facial",$G218,NA())</f>
        <v>#N/A</v>
      </c>
      <c r="Q218" t="e">
        <f>IF($E218="Cuidado Facial",$H218,NA())</f>
        <v>#N/A</v>
      </c>
      <c r="R218" s="8">
        <f>IF($E218="Capilar",$G218,NA())</f>
        <v>1193.56</v>
      </c>
      <c r="S218" s="8">
        <f>IF($E218="Capilar",$H218,NA())</f>
        <v>567.17999999999995</v>
      </c>
      <c r="T218" s="6" t="str">
        <f t="shared" si="3"/>
        <v>Noviembre</v>
      </c>
    </row>
    <row r="219" spans="1:20" ht="15" customHeight="1" x14ac:dyDescent="0.25">
      <c r="A219" s="5">
        <v>46191</v>
      </c>
      <c r="B219" s="6" t="s">
        <v>30</v>
      </c>
      <c r="C219" s="6" t="s">
        <v>48</v>
      </c>
      <c r="D219" s="6" t="s">
        <v>47</v>
      </c>
      <c r="E219" s="6" t="s">
        <v>33</v>
      </c>
      <c r="F219" s="6">
        <v>13</v>
      </c>
      <c r="G219" s="7">
        <v>3417.99</v>
      </c>
      <c r="H219" s="7">
        <v>1554.51</v>
      </c>
      <c r="I219" s="7">
        <v>44433.87</v>
      </c>
      <c r="J219" s="7">
        <v>20208.63</v>
      </c>
      <c r="K219" s="7">
        <v>24225.24</v>
      </c>
      <c r="L219" t="e">
        <f>IF($E219="Maquillaje",$G219,NA())</f>
        <v>#N/A</v>
      </c>
      <c r="M219" t="e">
        <f>IF($E219="Maquillaje",$H219,NA())</f>
        <v>#N/A</v>
      </c>
      <c r="N219" s="8">
        <f>IF($E219="Perfumería",$G219,NA())</f>
        <v>3417.99</v>
      </c>
      <c r="O219" s="8">
        <f>IF($E219="Perfumería",$H219,NA())</f>
        <v>1554.51</v>
      </c>
      <c r="P219" t="e">
        <f>IF($E219="Cuidado Facial",$G219,NA())</f>
        <v>#N/A</v>
      </c>
      <c r="Q219" t="e">
        <f>IF($E219="Cuidado Facial",$H219,NA())</f>
        <v>#N/A</v>
      </c>
      <c r="R219" t="e">
        <f>IF($E219="Capilar",$G219,NA())</f>
        <v>#N/A</v>
      </c>
      <c r="S219" t="e">
        <f>IF($E219="Capilar",$H219,NA())</f>
        <v>#N/A</v>
      </c>
      <c r="T219" s="6" t="str">
        <f t="shared" si="3"/>
        <v>Junio</v>
      </c>
    </row>
    <row r="220" spans="1:20" ht="15" customHeight="1" x14ac:dyDescent="0.25">
      <c r="A220" s="5">
        <v>46307</v>
      </c>
      <c r="B220" s="6" t="s">
        <v>38</v>
      </c>
      <c r="C220" s="6" t="s">
        <v>31</v>
      </c>
      <c r="D220" s="6" t="s">
        <v>39</v>
      </c>
      <c r="E220" s="6" t="s">
        <v>40</v>
      </c>
      <c r="F220" s="6">
        <v>8</v>
      </c>
      <c r="G220" s="7">
        <v>2210.59</v>
      </c>
      <c r="H220" s="7">
        <v>1107.96</v>
      </c>
      <c r="I220" s="7">
        <v>17684.72</v>
      </c>
      <c r="J220" s="7">
        <v>8863.68</v>
      </c>
      <c r="K220" s="7">
        <v>8821.0400000000009</v>
      </c>
      <c r="L220" t="e">
        <f>IF($E220="Maquillaje",$G220,NA())</f>
        <v>#N/A</v>
      </c>
      <c r="M220" t="e">
        <f>IF($E220="Maquillaje",$H220,NA())</f>
        <v>#N/A</v>
      </c>
      <c r="N220" t="e">
        <f>IF($E220="Perfumería",$G220,NA())</f>
        <v>#N/A</v>
      </c>
      <c r="O220" t="e">
        <f>IF($E220="Perfumería",$H220,NA())</f>
        <v>#N/A</v>
      </c>
      <c r="P220" s="8">
        <f>IF($E220="Cuidado Facial",$G220,NA())</f>
        <v>2210.59</v>
      </c>
      <c r="Q220" s="8">
        <f>IF($E220="Cuidado Facial",$H220,NA())</f>
        <v>1107.96</v>
      </c>
      <c r="R220" t="e">
        <f>IF($E220="Capilar",$G220,NA())</f>
        <v>#N/A</v>
      </c>
      <c r="S220" t="e">
        <f>IF($E220="Capilar",$H220,NA())</f>
        <v>#N/A</v>
      </c>
      <c r="T220" s="6" t="str">
        <f t="shared" si="3"/>
        <v>Octubre</v>
      </c>
    </row>
    <row r="221" spans="1:20" ht="15" customHeight="1" x14ac:dyDescent="0.25">
      <c r="A221" s="5">
        <v>46255</v>
      </c>
      <c r="B221" s="6" t="s">
        <v>34</v>
      </c>
      <c r="C221" s="6" t="s">
        <v>35</v>
      </c>
      <c r="D221" s="6" t="s">
        <v>39</v>
      </c>
      <c r="E221" s="6" t="s">
        <v>40</v>
      </c>
      <c r="F221" s="6">
        <v>9</v>
      </c>
      <c r="G221" s="7">
        <v>2089.8200000000002</v>
      </c>
      <c r="H221" s="7">
        <v>1082.6300000000001</v>
      </c>
      <c r="I221" s="7">
        <v>18808.38</v>
      </c>
      <c r="J221" s="7">
        <v>9743.67</v>
      </c>
      <c r="K221" s="7">
        <v>9064.7099999999991</v>
      </c>
      <c r="L221" t="e">
        <f>IF($E221="Maquillaje",$G221,NA())</f>
        <v>#N/A</v>
      </c>
      <c r="M221" t="e">
        <f>IF($E221="Maquillaje",$H221,NA())</f>
        <v>#N/A</v>
      </c>
      <c r="N221" t="e">
        <f>IF($E221="Perfumería",$G221,NA())</f>
        <v>#N/A</v>
      </c>
      <c r="O221" t="e">
        <f>IF($E221="Perfumería",$H221,NA())</f>
        <v>#N/A</v>
      </c>
      <c r="P221" s="8">
        <f>IF($E221="Cuidado Facial",$G221,NA())</f>
        <v>2089.8200000000002</v>
      </c>
      <c r="Q221" s="8">
        <f>IF($E221="Cuidado Facial",$H221,NA())</f>
        <v>1082.6300000000001</v>
      </c>
      <c r="R221" t="e">
        <f>IF($E221="Capilar",$G221,NA())</f>
        <v>#N/A</v>
      </c>
      <c r="S221" t="e">
        <f>IF($E221="Capilar",$H221,NA())</f>
        <v>#N/A</v>
      </c>
      <c r="T221" s="6" t="str">
        <f t="shared" si="3"/>
        <v>Agosto</v>
      </c>
    </row>
    <row r="222" spans="1:20" ht="15" customHeight="1" x14ac:dyDescent="0.25">
      <c r="A222" s="5">
        <v>46139</v>
      </c>
      <c r="B222" s="6" t="s">
        <v>30</v>
      </c>
      <c r="C222" s="6" t="s">
        <v>48</v>
      </c>
      <c r="D222" s="6" t="s">
        <v>36</v>
      </c>
      <c r="E222" s="6" t="s">
        <v>37</v>
      </c>
      <c r="F222" s="6">
        <v>9</v>
      </c>
      <c r="G222" s="7">
        <v>1450.54</v>
      </c>
      <c r="H222" s="7">
        <v>788.62</v>
      </c>
      <c r="I222" s="7">
        <v>13054.86</v>
      </c>
      <c r="J222" s="7">
        <v>7097.58</v>
      </c>
      <c r="K222" s="7">
        <v>5957.28</v>
      </c>
      <c r="L222" s="8">
        <f>IF($E222="Maquillaje",$G222,NA())</f>
        <v>1450.54</v>
      </c>
      <c r="M222" s="8">
        <f>IF($E222="Maquillaje",$H222,NA())</f>
        <v>788.62</v>
      </c>
      <c r="N222" t="e">
        <f>IF($E222="Perfumería",$G222,NA())</f>
        <v>#N/A</v>
      </c>
      <c r="O222" t="e">
        <f>IF($E222="Perfumería",$H222,NA())</f>
        <v>#N/A</v>
      </c>
      <c r="P222" t="e">
        <f>IF($E222="Cuidado Facial",$G222,NA())</f>
        <v>#N/A</v>
      </c>
      <c r="Q222" t="e">
        <f>IF($E222="Cuidado Facial",$H222,NA())</f>
        <v>#N/A</v>
      </c>
      <c r="R222" t="e">
        <f>IF($E222="Capilar",$G222,NA())</f>
        <v>#N/A</v>
      </c>
      <c r="S222" t="e">
        <f>IF($E222="Capilar",$H222,NA())</f>
        <v>#N/A</v>
      </c>
      <c r="T222" s="6" t="str">
        <f t="shared" si="3"/>
        <v>Abril</v>
      </c>
    </row>
    <row r="223" spans="1:20" ht="15" customHeight="1" x14ac:dyDescent="0.25">
      <c r="A223" s="5">
        <v>46099</v>
      </c>
      <c r="B223" s="6" t="s">
        <v>38</v>
      </c>
      <c r="C223" s="6" t="s">
        <v>31</v>
      </c>
      <c r="D223" s="6" t="s">
        <v>49</v>
      </c>
      <c r="E223" s="6" t="s">
        <v>40</v>
      </c>
      <c r="F223" s="6">
        <v>4</v>
      </c>
      <c r="G223" s="7">
        <v>1778.96</v>
      </c>
      <c r="H223" s="7">
        <v>964.77</v>
      </c>
      <c r="I223" s="7">
        <v>7115.84</v>
      </c>
      <c r="J223" s="7">
        <v>3859.08</v>
      </c>
      <c r="K223" s="7">
        <v>3256.76</v>
      </c>
      <c r="L223" t="e">
        <f>IF($E223="Maquillaje",$G223,NA())</f>
        <v>#N/A</v>
      </c>
      <c r="M223" t="e">
        <f>IF($E223="Maquillaje",$H223,NA())</f>
        <v>#N/A</v>
      </c>
      <c r="N223" t="e">
        <f>IF($E223="Perfumería",$G223,NA())</f>
        <v>#N/A</v>
      </c>
      <c r="O223" t="e">
        <f>IF($E223="Perfumería",$H223,NA())</f>
        <v>#N/A</v>
      </c>
      <c r="P223" s="8">
        <f>IF($E223="Cuidado Facial",$G223,NA())</f>
        <v>1778.96</v>
      </c>
      <c r="Q223" s="8">
        <f>IF($E223="Cuidado Facial",$H223,NA())</f>
        <v>964.77</v>
      </c>
      <c r="R223" t="e">
        <f>IF($E223="Capilar",$G223,NA())</f>
        <v>#N/A</v>
      </c>
      <c r="S223" t="e">
        <f>IF($E223="Capilar",$H223,NA())</f>
        <v>#N/A</v>
      </c>
      <c r="T223" s="6" t="str">
        <f t="shared" si="3"/>
        <v>Marzo</v>
      </c>
    </row>
    <row r="224" spans="1:20" ht="15" customHeight="1" x14ac:dyDescent="0.25">
      <c r="A224" s="5">
        <v>46222</v>
      </c>
      <c r="B224" s="6" t="s">
        <v>34</v>
      </c>
      <c r="C224" s="6" t="s">
        <v>35</v>
      </c>
      <c r="D224" s="6" t="s">
        <v>44</v>
      </c>
      <c r="E224" s="6" t="s">
        <v>37</v>
      </c>
      <c r="F224" s="6">
        <v>13</v>
      </c>
      <c r="G224" s="7">
        <v>1234.9100000000001</v>
      </c>
      <c r="H224" s="7">
        <v>637.24</v>
      </c>
      <c r="I224" s="7">
        <v>16053.83</v>
      </c>
      <c r="J224" s="7">
        <v>8284.1200000000008</v>
      </c>
      <c r="K224" s="7">
        <v>7769.71</v>
      </c>
      <c r="L224" s="8">
        <f>IF($E224="Maquillaje",$G224,NA())</f>
        <v>1234.9100000000001</v>
      </c>
      <c r="M224" s="8">
        <f>IF($E224="Maquillaje",$H224,NA())</f>
        <v>637.24</v>
      </c>
      <c r="N224" t="e">
        <f>IF($E224="Perfumería",$G224,NA())</f>
        <v>#N/A</v>
      </c>
      <c r="O224" t="e">
        <f>IF($E224="Perfumería",$H224,NA())</f>
        <v>#N/A</v>
      </c>
      <c r="P224" t="e">
        <f>IF($E224="Cuidado Facial",$G224,NA())</f>
        <v>#N/A</v>
      </c>
      <c r="Q224" t="e">
        <f>IF($E224="Cuidado Facial",$H224,NA())</f>
        <v>#N/A</v>
      </c>
      <c r="R224" t="e">
        <f>IF($E224="Capilar",$G224,NA())</f>
        <v>#N/A</v>
      </c>
      <c r="S224" t="e">
        <f>IF($E224="Capilar",$H224,NA())</f>
        <v>#N/A</v>
      </c>
      <c r="T224" s="6" t="str">
        <f t="shared" si="3"/>
        <v>Julio</v>
      </c>
    </row>
    <row r="225" spans="1:20" ht="15" customHeight="1" x14ac:dyDescent="0.25">
      <c r="A225" s="5">
        <v>46232</v>
      </c>
      <c r="B225" s="6" t="s">
        <v>34</v>
      </c>
      <c r="C225" s="6" t="s">
        <v>35</v>
      </c>
      <c r="D225" s="6" t="s">
        <v>39</v>
      </c>
      <c r="E225" s="6" t="s">
        <v>40</v>
      </c>
      <c r="F225" s="6">
        <v>5</v>
      </c>
      <c r="G225" s="7">
        <v>2187.89</v>
      </c>
      <c r="H225" s="7">
        <v>995.78</v>
      </c>
      <c r="I225" s="7">
        <v>10939.45</v>
      </c>
      <c r="J225" s="7">
        <v>4978.8999999999996</v>
      </c>
      <c r="K225" s="7">
        <v>5960.55</v>
      </c>
      <c r="L225" t="e">
        <f>IF($E225="Maquillaje",$G225,NA())</f>
        <v>#N/A</v>
      </c>
      <c r="M225" t="e">
        <f>IF($E225="Maquillaje",$H225,NA())</f>
        <v>#N/A</v>
      </c>
      <c r="N225" t="e">
        <f>IF($E225="Perfumería",$G225,NA())</f>
        <v>#N/A</v>
      </c>
      <c r="O225" t="e">
        <f>IF($E225="Perfumería",$H225,NA())</f>
        <v>#N/A</v>
      </c>
      <c r="P225" s="8">
        <f>IF($E225="Cuidado Facial",$G225,NA())</f>
        <v>2187.89</v>
      </c>
      <c r="Q225" s="8">
        <f>IF($E225="Cuidado Facial",$H225,NA())</f>
        <v>995.78</v>
      </c>
      <c r="R225" t="e">
        <f>IF($E225="Capilar",$G225,NA())</f>
        <v>#N/A</v>
      </c>
      <c r="S225" t="e">
        <f>IF($E225="Capilar",$H225,NA())</f>
        <v>#N/A</v>
      </c>
      <c r="T225" s="6" t="str">
        <f t="shared" si="3"/>
        <v>Julio</v>
      </c>
    </row>
    <row r="226" spans="1:20" ht="15" customHeight="1" x14ac:dyDescent="0.25">
      <c r="A226" s="5">
        <v>46150</v>
      </c>
      <c r="B226" s="6" t="s">
        <v>38</v>
      </c>
      <c r="C226" s="6" t="s">
        <v>31</v>
      </c>
      <c r="D226" s="6" t="s">
        <v>44</v>
      </c>
      <c r="E226" s="6" t="s">
        <v>37</v>
      </c>
      <c r="F226" s="6">
        <v>14</v>
      </c>
      <c r="G226" s="7">
        <v>1292.06</v>
      </c>
      <c r="H226" s="7">
        <v>631.85</v>
      </c>
      <c r="I226" s="7">
        <v>18088.84</v>
      </c>
      <c r="J226" s="7">
        <v>8845.9</v>
      </c>
      <c r="K226" s="7">
        <v>9242.94</v>
      </c>
      <c r="L226" s="8">
        <f>IF($E226="Maquillaje",$G226,NA())</f>
        <v>1292.06</v>
      </c>
      <c r="M226" s="8">
        <f>IF($E226="Maquillaje",$H226,NA())</f>
        <v>631.85</v>
      </c>
      <c r="N226" t="e">
        <f>IF($E226="Perfumería",$G226,NA())</f>
        <v>#N/A</v>
      </c>
      <c r="O226" t="e">
        <f>IF($E226="Perfumería",$H226,NA())</f>
        <v>#N/A</v>
      </c>
      <c r="P226" t="e">
        <f>IF($E226="Cuidado Facial",$G226,NA())</f>
        <v>#N/A</v>
      </c>
      <c r="Q226" t="e">
        <f>IF($E226="Cuidado Facial",$H226,NA())</f>
        <v>#N/A</v>
      </c>
      <c r="R226" t="e">
        <f>IF($E226="Capilar",$G226,NA())</f>
        <v>#N/A</v>
      </c>
      <c r="S226" t="e">
        <f>IF($E226="Capilar",$H226,NA())</f>
        <v>#N/A</v>
      </c>
      <c r="T226" s="6" t="str">
        <f t="shared" si="3"/>
        <v>Mayo</v>
      </c>
    </row>
    <row r="227" spans="1:20" ht="15" customHeight="1" x14ac:dyDescent="0.25">
      <c r="A227" s="5">
        <v>46094</v>
      </c>
      <c r="B227" s="6" t="s">
        <v>34</v>
      </c>
      <c r="C227" s="6" t="s">
        <v>35</v>
      </c>
      <c r="D227" s="6" t="s">
        <v>47</v>
      </c>
      <c r="E227" s="6" t="s">
        <v>33</v>
      </c>
      <c r="F227" s="6">
        <v>3</v>
      </c>
      <c r="G227" s="7">
        <v>3463.43</v>
      </c>
      <c r="H227" s="7">
        <v>1488.26</v>
      </c>
      <c r="I227" s="7">
        <v>10390.290000000001</v>
      </c>
      <c r="J227" s="7">
        <v>4464.78</v>
      </c>
      <c r="K227" s="7">
        <v>5925.51</v>
      </c>
      <c r="L227" t="e">
        <f>IF($E227="Maquillaje",$G227,NA())</f>
        <v>#N/A</v>
      </c>
      <c r="M227" t="e">
        <f>IF($E227="Maquillaje",$H227,NA())</f>
        <v>#N/A</v>
      </c>
      <c r="N227" s="8">
        <f>IF($E227="Perfumería",$G227,NA())</f>
        <v>3463.43</v>
      </c>
      <c r="O227" s="8">
        <f>IF($E227="Perfumería",$H227,NA())</f>
        <v>1488.26</v>
      </c>
      <c r="P227" t="e">
        <f>IF($E227="Cuidado Facial",$G227,NA())</f>
        <v>#N/A</v>
      </c>
      <c r="Q227" t="e">
        <f>IF($E227="Cuidado Facial",$H227,NA())</f>
        <v>#N/A</v>
      </c>
      <c r="R227" t="e">
        <f>IF($E227="Capilar",$G227,NA())</f>
        <v>#N/A</v>
      </c>
      <c r="S227" t="e">
        <f>IF($E227="Capilar",$H227,NA())</f>
        <v>#N/A</v>
      </c>
      <c r="T227" s="6" t="str">
        <f t="shared" si="3"/>
        <v>Marzo</v>
      </c>
    </row>
    <row r="228" spans="1:20" ht="15" customHeight="1" x14ac:dyDescent="0.25">
      <c r="A228" s="5">
        <v>46372</v>
      </c>
      <c r="B228" s="6" t="s">
        <v>41</v>
      </c>
      <c r="C228" s="6" t="s">
        <v>35</v>
      </c>
      <c r="D228" s="6" t="s">
        <v>49</v>
      </c>
      <c r="E228" s="6" t="s">
        <v>40</v>
      </c>
      <c r="F228" s="6">
        <v>10</v>
      </c>
      <c r="G228" s="7">
        <v>1704.46</v>
      </c>
      <c r="H228" s="7">
        <v>952.58</v>
      </c>
      <c r="I228" s="7">
        <v>17044.599999999999</v>
      </c>
      <c r="J228" s="7">
        <v>9525.7999999999993</v>
      </c>
      <c r="K228" s="7">
        <v>7518.8</v>
      </c>
      <c r="L228" t="e">
        <f>IF($E228="Maquillaje",$G228,NA())</f>
        <v>#N/A</v>
      </c>
      <c r="M228" t="e">
        <f>IF($E228="Maquillaje",$H228,NA())</f>
        <v>#N/A</v>
      </c>
      <c r="N228" t="e">
        <f>IF($E228="Perfumería",$G228,NA())</f>
        <v>#N/A</v>
      </c>
      <c r="O228" t="e">
        <f>IF($E228="Perfumería",$H228,NA())</f>
        <v>#N/A</v>
      </c>
      <c r="P228" s="8">
        <f>IF($E228="Cuidado Facial",$G228,NA())</f>
        <v>1704.46</v>
      </c>
      <c r="Q228" s="8">
        <f>IF($E228="Cuidado Facial",$H228,NA())</f>
        <v>952.58</v>
      </c>
      <c r="R228" t="e">
        <f>IF($E228="Capilar",$G228,NA())</f>
        <v>#N/A</v>
      </c>
      <c r="S228" t="e">
        <f>IF($E228="Capilar",$H228,NA())</f>
        <v>#N/A</v>
      </c>
      <c r="T228" s="6" t="str">
        <f t="shared" si="3"/>
        <v>Diciembre</v>
      </c>
    </row>
    <row r="229" spans="1:20" ht="15" customHeight="1" x14ac:dyDescent="0.25">
      <c r="A229" s="5">
        <v>46141</v>
      </c>
      <c r="B229" s="6" t="s">
        <v>38</v>
      </c>
      <c r="C229" s="6" t="s">
        <v>31</v>
      </c>
      <c r="D229" s="6" t="s">
        <v>44</v>
      </c>
      <c r="E229" s="6" t="s">
        <v>37</v>
      </c>
      <c r="F229" s="6">
        <v>2</v>
      </c>
      <c r="G229" s="7">
        <v>1290.8599999999999</v>
      </c>
      <c r="H229" s="7">
        <v>600.66</v>
      </c>
      <c r="I229" s="7">
        <v>2581.7199999999998</v>
      </c>
      <c r="J229" s="7">
        <v>1201.32</v>
      </c>
      <c r="K229" s="7">
        <v>1380.4</v>
      </c>
      <c r="L229" s="8">
        <f>IF($E229="Maquillaje",$G229,NA())</f>
        <v>1290.8599999999999</v>
      </c>
      <c r="M229" s="8">
        <f>IF($E229="Maquillaje",$H229,NA())</f>
        <v>600.66</v>
      </c>
      <c r="N229" t="e">
        <f>IF($E229="Perfumería",$G229,NA())</f>
        <v>#N/A</v>
      </c>
      <c r="O229" t="e">
        <f>IF($E229="Perfumería",$H229,NA())</f>
        <v>#N/A</v>
      </c>
      <c r="P229" t="e">
        <f>IF($E229="Cuidado Facial",$G229,NA())</f>
        <v>#N/A</v>
      </c>
      <c r="Q229" t="e">
        <f>IF($E229="Cuidado Facial",$H229,NA())</f>
        <v>#N/A</v>
      </c>
      <c r="R229" t="e">
        <f>IF($E229="Capilar",$G229,NA())</f>
        <v>#N/A</v>
      </c>
      <c r="S229" t="e">
        <f>IF($E229="Capilar",$H229,NA())</f>
        <v>#N/A</v>
      </c>
      <c r="T229" s="6" t="str">
        <f t="shared" si="3"/>
        <v>Abril</v>
      </c>
    </row>
    <row r="230" spans="1:20" ht="15" customHeight="1" x14ac:dyDescent="0.25">
      <c r="A230" s="5">
        <v>46114</v>
      </c>
      <c r="B230" s="6" t="s">
        <v>38</v>
      </c>
      <c r="C230" s="6" t="s">
        <v>31</v>
      </c>
      <c r="D230" s="6" t="s">
        <v>49</v>
      </c>
      <c r="E230" s="6" t="s">
        <v>40</v>
      </c>
      <c r="F230" s="6">
        <v>15</v>
      </c>
      <c r="G230" s="7">
        <v>1647.84</v>
      </c>
      <c r="H230" s="7">
        <v>984.69</v>
      </c>
      <c r="I230" s="7">
        <v>24717.599999999999</v>
      </c>
      <c r="J230" s="7">
        <v>14770.35</v>
      </c>
      <c r="K230" s="7">
        <v>9947.25</v>
      </c>
      <c r="L230" t="e">
        <f>IF($E230="Maquillaje",$G230,NA())</f>
        <v>#N/A</v>
      </c>
      <c r="M230" t="e">
        <f>IF($E230="Maquillaje",$H230,NA())</f>
        <v>#N/A</v>
      </c>
      <c r="N230" t="e">
        <f>IF($E230="Perfumería",$G230,NA())</f>
        <v>#N/A</v>
      </c>
      <c r="O230" t="e">
        <f>IF($E230="Perfumería",$H230,NA())</f>
        <v>#N/A</v>
      </c>
      <c r="P230" s="8">
        <f>IF($E230="Cuidado Facial",$G230,NA())</f>
        <v>1647.84</v>
      </c>
      <c r="Q230" s="8">
        <f>IF($E230="Cuidado Facial",$H230,NA())</f>
        <v>984.69</v>
      </c>
      <c r="R230" t="e">
        <f>IF($E230="Capilar",$G230,NA())</f>
        <v>#N/A</v>
      </c>
      <c r="S230" t="e">
        <f>IF($E230="Capilar",$H230,NA())</f>
        <v>#N/A</v>
      </c>
      <c r="T230" s="6" t="str">
        <f t="shared" si="3"/>
        <v>Abril</v>
      </c>
    </row>
    <row r="231" spans="1:20" ht="15" customHeight="1" x14ac:dyDescent="0.25">
      <c r="A231" s="5">
        <v>46060</v>
      </c>
      <c r="B231" s="6" t="s">
        <v>30</v>
      </c>
      <c r="C231" s="6" t="s">
        <v>48</v>
      </c>
      <c r="D231" s="6" t="s">
        <v>39</v>
      </c>
      <c r="E231" s="6" t="s">
        <v>40</v>
      </c>
      <c r="F231" s="6">
        <v>1</v>
      </c>
      <c r="G231" s="7">
        <v>1972.51</v>
      </c>
      <c r="H231" s="7">
        <v>955.05</v>
      </c>
      <c r="I231" s="7">
        <v>1972.51</v>
      </c>
      <c r="J231" s="7">
        <v>955.05</v>
      </c>
      <c r="K231" s="7">
        <v>1017.46</v>
      </c>
      <c r="L231" t="e">
        <f>IF($E231="Maquillaje",$G231,NA())</f>
        <v>#N/A</v>
      </c>
      <c r="M231" t="e">
        <f>IF($E231="Maquillaje",$H231,NA())</f>
        <v>#N/A</v>
      </c>
      <c r="N231" t="e">
        <f>IF($E231="Perfumería",$G231,NA())</f>
        <v>#N/A</v>
      </c>
      <c r="O231" t="e">
        <f>IF($E231="Perfumería",$H231,NA())</f>
        <v>#N/A</v>
      </c>
      <c r="P231" s="8">
        <f>IF($E231="Cuidado Facial",$G231,NA())</f>
        <v>1972.51</v>
      </c>
      <c r="Q231" s="8">
        <f>IF($E231="Cuidado Facial",$H231,NA())</f>
        <v>955.05</v>
      </c>
      <c r="R231" t="e">
        <f>IF($E231="Capilar",$G231,NA())</f>
        <v>#N/A</v>
      </c>
      <c r="S231" t="e">
        <f>IF($E231="Capilar",$H231,NA())</f>
        <v>#N/A</v>
      </c>
      <c r="T231" s="6" t="str">
        <f t="shared" si="3"/>
        <v>Febrero</v>
      </c>
    </row>
    <row r="232" spans="1:20" ht="15" customHeight="1" x14ac:dyDescent="0.25">
      <c r="A232" s="5">
        <v>46189</v>
      </c>
      <c r="B232" s="6" t="s">
        <v>46</v>
      </c>
      <c r="C232" s="6" t="s">
        <v>31</v>
      </c>
      <c r="D232" s="6" t="s">
        <v>49</v>
      </c>
      <c r="E232" s="6" t="s">
        <v>40</v>
      </c>
      <c r="F232" s="6">
        <v>7</v>
      </c>
      <c r="G232" s="7">
        <v>1973.65</v>
      </c>
      <c r="H232" s="7">
        <v>967.33</v>
      </c>
      <c r="I232" s="7">
        <v>13815.55</v>
      </c>
      <c r="J232" s="7">
        <v>6771.31</v>
      </c>
      <c r="K232" s="7">
        <v>7044.24</v>
      </c>
      <c r="L232" t="e">
        <f>IF($E232="Maquillaje",$G232,NA())</f>
        <v>#N/A</v>
      </c>
      <c r="M232" t="e">
        <f>IF($E232="Maquillaje",$H232,NA())</f>
        <v>#N/A</v>
      </c>
      <c r="N232" t="e">
        <f>IF($E232="Perfumería",$G232,NA())</f>
        <v>#N/A</v>
      </c>
      <c r="O232" t="e">
        <f>IF($E232="Perfumería",$H232,NA())</f>
        <v>#N/A</v>
      </c>
      <c r="P232" s="8">
        <f>IF($E232="Cuidado Facial",$G232,NA())</f>
        <v>1973.65</v>
      </c>
      <c r="Q232" s="8">
        <f>IF($E232="Cuidado Facial",$H232,NA())</f>
        <v>967.33</v>
      </c>
      <c r="R232" t="e">
        <f>IF($E232="Capilar",$G232,NA())</f>
        <v>#N/A</v>
      </c>
      <c r="S232" t="e">
        <f>IF($E232="Capilar",$H232,NA())</f>
        <v>#N/A</v>
      </c>
      <c r="T232" s="6" t="str">
        <f t="shared" si="3"/>
        <v>Junio</v>
      </c>
    </row>
    <row r="233" spans="1:20" ht="15" customHeight="1" x14ac:dyDescent="0.25">
      <c r="A233" s="5">
        <v>46237</v>
      </c>
      <c r="B233" s="6" t="s">
        <v>30</v>
      </c>
      <c r="C233" s="6" t="s">
        <v>35</v>
      </c>
      <c r="D233" s="6" t="s">
        <v>42</v>
      </c>
      <c r="E233" s="6" t="s">
        <v>43</v>
      </c>
      <c r="F233" s="6">
        <v>15</v>
      </c>
      <c r="G233" s="7">
        <v>1044.69</v>
      </c>
      <c r="H233" s="7">
        <v>432.5</v>
      </c>
      <c r="I233" s="7">
        <v>15670.35</v>
      </c>
      <c r="J233" s="7">
        <v>6487.5</v>
      </c>
      <c r="K233" s="7">
        <v>9182.85</v>
      </c>
      <c r="L233" t="e">
        <f>IF($E233="Maquillaje",$G233,NA())</f>
        <v>#N/A</v>
      </c>
      <c r="M233" t="e">
        <f>IF($E233="Maquillaje",$H233,NA())</f>
        <v>#N/A</v>
      </c>
      <c r="N233" t="e">
        <f>IF($E233="Perfumería",$G233,NA())</f>
        <v>#N/A</v>
      </c>
      <c r="O233" t="e">
        <f>IF($E233="Perfumería",$H233,NA())</f>
        <v>#N/A</v>
      </c>
      <c r="P233" t="e">
        <f>IF($E233="Cuidado Facial",$G233,NA())</f>
        <v>#N/A</v>
      </c>
      <c r="Q233" t="e">
        <f>IF($E233="Cuidado Facial",$H233,NA())</f>
        <v>#N/A</v>
      </c>
      <c r="R233" s="8">
        <f>IF($E233="Capilar",$G233,NA())</f>
        <v>1044.69</v>
      </c>
      <c r="S233" s="8">
        <f>IF($E233="Capilar",$H233,NA())</f>
        <v>432.5</v>
      </c>
      <c r="T233" s="6" t="str">
        <f t="shared" si="3"/>
        <v>Agosto</v>
      </c>
    </row>
    <row r="234" spans="1:20" ht="15" customHeight="1" x14ac:dyDescent="0.25">
      <c r="A234" s="5">
        <v>46335</v>
      </c>
      <c r="B234" s="6" t="s">
        <v>30</v>
      </c>
      <c r="C234" s="6" t="s">
        <v>31</v>
      </c>
      <c r="D234" s="6" t="s">
        <v>36</v>
      </c>
      <c r="E234" s="6" t="s">
        <v>37</v>
      </c>
      <c r="F234" s="6">
        <v>14</v>
      </c>
      <c r="G234" s="7">
        <v>1485.04</v>
      </c>
      <c r="H234" s="7">
        <v>707.25</v>
      </c>
      <c r="I234" s="7">
        <v>20790.560000000001</v>
      </c>
      <c r="J234" s="7">
        <v>9901.5</v>
      </c>
      <c r="K234" s="7">
        <v>10889.06</v>
      </c>
      <c r="L234" s="8">
        <f>IF($E234="Maquillaje",$G234,NA())</f>
        <v>1485.04</v>
      </c>
      <c r="M234" s="8">
        <f>IF($E234="Maquillaje",$H234,NA())</f>
        <v>707.25</v>
      </c>
      <c r="N234" t="e">
        <f>IF($E234="Perfumería",$G234,NA())</f>
        <v>#N/A</v>
      </c>
      <c r="O234" t="e">
        <f>IF($E234="Perfumería",$H234,NA())</f>
        <v>#N/A</v>
      </c>
      <c r="P234" t="e">
        <f>IF($E234="Cuidado Facial",$G234,NA())</f>
        <v>#N/A</v>
      </c>
      <c r="Q234" t="e">
        <f>IF($E234="Cuidado Facial",$H234,NA())</f>
        <v>#N/A</v>
      </c>
      <c r="R234" t="e">
        <f>IF($E234="Capilar",$G234,NA())</f>
        <v>#N/A</v>
      </c>
      <c r="S234" t="e">
        <f>IF($E234="Capilar",$H234,NA())</f>
        <v>#N/A</v>
      </c>
      <c r="T234" s="6" t="str">
        <f t="shared" si="3"/>
        <v>Noviembre</v>
      </c>
    </row>
    <row r="235" spans="1:20" ht="15" customHeight="1" x14ac:dyDescent="0.25">
      <c r="A235" s="5">
        <v>46373</v>
      </c>
      <c r="B235" s="6" t="s">
        <v>46</v>
      </c>
      <c r="C235" s="6" t="s">
        <v>31</v>
      </c>
      <c r="D235" s="6" t="s">
        <v>44</v>
      </c>
      <c r="E235" s="6" t="s">
        <v>37</v>
      </c>
      <c r="F235" s="6">
        <v>12</v>
      </c>
      <c r="G235" s="7">
        <v>1235.3599999999999</v>
      </c>
      <c r="H235" s="7">
        <v>646.17999999999995</v>
      </c>
      <c r="I235" s="7">
        <v>14824.32</v>
      </c>
      <c r="J235" s="7">
        <v>7754.16</v>
      </c>
      <c r="K235" s="7">
        <v>7070.16</v>
      </c>
      <c r="L235" s="8">
        <f>IF($E235="Maquillaje",$G235,NA())</f>
        <v>1235.3599999999999</v>
      </c>
      <c r="M235" s="8">
        <f>IF($E235="Maquillaje",$H235,NA())</f>
        <v>646.17999999999995</v>
      </c>
      <c r="N235" t="e">
        <f>IF($E235="Perfumería",$G235,NA())</f>
        <v>#N/A</v>
      </c>
      <c r="O235" t="e">
        <f>IF($E235="Perfumería",$H235,NA())</f>
        <v>#N/A</v>
      </c>
      <c r="P235" t="e">
        <f>IF($E235="Cuidado Facial",$G235,NA())</f>
        <v>#N/A</v>
      </c>
      <c r="Q235" t="e">
        <f>IF($E235="Cuidado Facial",$H235,NA())</f>
        <v>#N/A</v>
      </c>
      <c r="R235" t="e">
        <f>IF($E235="Capilar",$G235,NA())</f>
        <v>#N/A</v>
      </c>
      <c r="S235" t="e">
        <f>IF($E235="Capilar",$H235,NA())</f>
        <v>#N/A</v>
      </c>
      <c r="T235" s="6" t="str">
        <f t="shared" si="3"/>
        <v>Diciembre</v>
      </c>
    </row>
    <row r="236" spans="1:20" ht="15" customHeight="1" x14ac:dyDescent="0.25">
      <c r="A236" s="5">
        <v>46345</v>
      </c>
      <c r="B236" s="6" t="s">
        <v>34</v>
      </c>
      <c r="C236" s="6" t="s">
        <v>35</v>
      </c>
      <c r="D236" s="6" t="s">
        <v>42</v>
      </c>
      <c r="E236" s="6" t="s">
        <v>43</v>
      </c>
      <c r="F236" s="6">
        <v>5</v>
      </c>
      <c r="G236" s="7">
        <v>971.43</v>
      </c>
      <c r="H236" s="7">
        <v>497.01</v>
      </c>
      <c r="I236" s="7">
        <v>4857.1499999999996</v>
      </c>
      <c r="J236" s="7">
        <v>2485.0500000000002</v>
      </c>
      <c r="K236" s="7">
        <v>2372.1</v>
      </c>
      <c r="L236" t="e">
        <f>IF($E236="Maquillaje",$G236,NA())</f>
        <v>#N/A</v>
      </c>
      <c r="M236" t="e">
        <f>IF($E236="Maquillaje",$H236,NA())</f>
        <v>#N/A</v>
      </c>
      <c r="N236" t="e">
        <f>IF($E236="Perfumería",$G236,NA())</f>
        <v>#N/A</v>
      </c>
      <c r="O236" t="e">
        <f>IF($E236="Perfumería",$H236,NA())</f>
        <v>#N/A</v>
      </c>
      <c r="P236" t="e">
        <f>IF($E236="Cuidado Facial",$G236,NA())</f>
        <v>#N/A</v>
      </c>
      <c r="Q236" t="e">
        <f>IF($E236="Cuidado Facial",$H236,NA())</f>
        <v>#N/A</v>
      </c>
      <c r="R236" s="8">
        <f>IF($E236="Capilar",$G236,NA())</f>
        <v>971.43</v>
      </c>
      <c r="S236" s="8">
        <f>IF($E236="Capilar",$H236,NA())</f>
        <v>497.01</v>
      </c>
      <c r="T236" s="6" t="str">
        <f t="shared" si="3"/>
        <v>Noviembre</v>
      </c>
    </row>
    <row r="237" spans="1:20" ht="15" customHeight="1" x14ac:dyDescent="0.25">
      <c r="A237" s="5">
        <v>46137</v>
      </c>
      <c r="B237" s="6" t="s">
        <v>41</v>
      </c>
      <c r="C237" s="6" t="s">
        <v>35</v>
      </c>
      <c r="D237" s="6" t="s">
        <v>49</v>
      </c>
      <c r="E237" s="6" t="s">
        <v>40</v>
      </c>
      <c r="F237" s="6">
        <v>10</v>
      </c>
      <c r="G237" s="7">
        <v>1791.58</v>
      </c>
      <c r="H237" s="7">
        <v>849.82</v>
      </c>
      <c r="I237" s="7">
        <v>17915.8</v>
      </c>
      <c r="J237" s="7">
        <v>8498.2000000000007</v>
      </c>
      <c r="K237" s="7">
        <v>9417.6</v>
      </c>
      <c r="L237" t="e">
        <f>IF($E237="Maquillaje",$G237,NA())</f>
        <v>#N/A</v>
      </c>
      <c r="M237" t="e">
        <f>IF($E237="Maquillaje",$H237,NA())</f>
        <v>#N/A</v>
      </c>
      <c r="N237" t="e">
        <f>IF($E237="Perfumería",$G237,NA())</f>
        <v>#N/A</v>
      </c>
      <c r="O237" t="e">
        <f>IF($E237="Perfumería",$H237,NA())</f>
        <v>#N/A</v>
      </c>
      <c r="P237" s="8">
        <f>IF($E237="Cuidado Facial",$G237,NA())</f>
        <v>1791.58</v>
      </c>
      <c r="Q237" s="8">
        <f>IF($E237="Cuidado Facial",$H237,NA())</f>
        <v>849.82</v>
      </c>
      <c r="R237" t="e">
        <f>IF($E237="Capilar",$G237,NA())</f>
        <v>#N/A</v>
      </c>
      <c r="S237" t="e">
        <f>IF($E237="Capilar",$H237,NA())</f>
        <v>#N/A</v>
      </c>
      <c r="T237" s="6" t="str">
        <f t="shared" si="3"/>
        <v>Abril</v>
      </c>
    </row>
    <row r="238" spans="1:20" ht="15" customHeight="1" x14ac:dyDescent="0.25">
      <c r="A238" s="5">
        <v>46291</v>
      </c>
      <c r="B238" s="6" t="s">
        <v>30</v>
      </c>
      <c r="C238" s="6" t="s">
        <v>31</v>
      </c>
      <c r="D238" s="6" t="s">
        <v>32</v>
      </c>
      <c r="E238" s="6" t="s">
        <v>33</v>
      </c>
      <c r="F238" s="6">
        <v>3</v>
      </c>
      <c r="G238" s="7">
        <v>3163.67</v>
      </c>
      <c r="H238" s="7">
        <v>1806.64</v>
      </c>
      <c r="I238" s="7">
        <v>9491.01</v>
      </c>
      <c r="J238" s="7">
        <v>5419.92</v>
      </c>
      <c r="K238" s="7">
        <v>4071.09</v>
      </c>
      <c r="L238" t="e">
        <f>IF($E238="Maquillaje",$G238,NA())</f>
        <v>#N/A</v>
      </c>
      <c r="M238" t="e">
        <f>IF($E238="Maquillaje",$H238,NA())</f>
        <v>#N/A</v>
      </c>
      <c r="N238" s="8">
        <f>IF($E238="Perfumería",$G238,NA())</f>
        <v>3163.67</v>
      </c>
      <c r="O238" s="8">
        <f>IF($E238="Perfumería",$H238,NA())</f>
        <v>1806.64</v>
      </c>
      <c r="P238" t="e">
        <f>IF($E238="Cuidado Facial",$G238,NA())</f>
        <v>#N/A</v>
      </c>
      <c r="Q238" t="e">
        <f>IF($E238="Cuidado Facial",$H238,NA())</f>
        <v>#N/A</v>
      </c>
      <c r="R238" t="e">
        <f>IF($E238="Capilar",$G238,NA())</f>
        <v>#N/A</v>
      </c>
      <c r="S238" t="e">
        <f>IF($E238="Capilar",$H238,NA())</f>
        <v>#N/A</v>
      </c>
      <c r="T238" s="6" t="str">
        <f t="shared" si="3"/>
        <v>Septiembre</v>
      </c>
    </row>
    <row r="239" spans="1:20" ht="15" customHeight="1" x14ac:dyDescent="0.25">
      <c r="A239" s="5">
        <v>46356</v>
      </c>
      <c r="B239" s="6" t="s">
        <v>30</v>
      </c>
      <c r="C239" s="6" t="s">
        <v>48</v>
      </c>
      <c r="D239" s="6" t="s">
        <v>49</v>
      </c>
      <c r="E239" s="6" t="s">
        <v>40</v>
      </c>
      <c r="F239" s="6">
        <v>2</v>
      </c>
      <c r="G239" s="7">
        <v>1767.61</v>
      </c>
      <c r="H239" s="7">
        <v>936.47</v>
      </c>
      <c r="I239" s="7">
        <v>3535.22</v>
      </c>
      <c r="J239" s="7">
        <v>1872.94</v>
      </c>
      <c r="K239" s="7">
        <v>1662.28</v>
      </c>
      <c r="L239" t="e">
        <f>IF($E239="Maquillaje",$G239,NA())</f>
        <v>#N/A</v>
      </c>
      <c r="M239" t="e">
        <f>IF($E239="Maquillaje",$H239,NA())</f>
        <v>#N/A</v>
      </c>
      <c r="N239" t="e">
        <f>IF($E239="Perfumería",$G239,NA())</f>
        <v>#N/A</v>
      </c>
      <c r="O239" t="e">
        <f>IF($E239="Perfumería",$H239,NA())</f>
        <v>#N/A</v>
      </c>
      <c r="P239" s="8">
        <f>IF($E239="Cuidado Facial",$G239,NA())</f>
        <v>1767.61</v>
      </c>
      <c r="Q239" s="8">
        <f>IF($E239="Cuidado Facial",$H239,NA())</f>
        <v>936.47</v>
      </c>
      <c r="R239" t="e">
        <f>IF($E239="Capilar",$G239,NA())</f>
        <v>#N/A</v>
      </c>
      <c r="S239" t="e">
        <f>IF($E239="Capilar",$H239,NA())</f>
        <v>#N/A</v>
      </c>
      <c r="T239" s="6" t="str">
        <f t="shared" si="3"/>
        <v>Noviembre</v>
      </c>
    </row>
    <row r="240" spans="1:20" ht="15" customHeight="1" x14ac:dyDescent="0.25">
      <c r="A240" s="5">
        <v>46290</v>
      </c>
      <c r="B240" s="6" t="s">
        <v>41</v>
      </c>
      <c r="C240" s="6" t="s">
        <v>35</v>
      </c>
      <c r="D240" s="6" t="s">
        <v>42</v>
      </c>
      <c r="E240" s="6" t="s">
        <v>43</v>
      </c>
      <c r="F240" s="6">
        <v>8</v>
      </c>
      <c r="G240" s="7">
        <v>987.05</v>
      </c>
      <c r="H240" s="7">
        <v>475.13</v>
      </c>
      <c r="I240" s="7">
        <v>7896.4</v>
      </c>
      <c r="J240" s="7">
        <v>3801.04</v>
      </c>
      <c r="K240" s="7">
        <v>4095.36</v>
      </c>
      <c r="L240" t="e">
        <f>IF($E240="Maquillaje",$G240,NA())</f>
        <v>#N/A</v>
      </c>
      <c r="M240" t="e">
        <f>IF($E240="Maquillaje",$H240,NA())</f>
        <v>#N/A</v>
      </c>
      <c r="N240" t="e">
        <f>IF($E240="Perfumería",$G240,NA())</f>
        <v>#N/A</v>
      </c>
      <c r="O240" t="e">
        <f>IF($E240="Perfumería",$H240,NA())</f>
        <v>#N/A</v>
      </c>
      <c r="P240" t="e">
        <f>IF($E240="Cuidado Facial",$G240,NA())</f>
        <v>#N/A</v>
      </c>
      <c r="Q240" t="e">
        <f>IF($E240="Cuidado Facial",$H240,NA())</f>
        <v>#N/A</v>
      </c>
      <c r="R240" s="8">
        <f>IF($E240="Capilar",$G240,NA())</f>
        <v>987.05</v>
      </c>
      <c r="S240" s="8">
        <f>IF($E240="Capilar",$H240,NA())</f>
        <v>475.13</v>
      </c>
      <c r="T240" s="6" t="str">
        <f t="shared" si="3"/>
        <v>Septiembre</v>
      </c>
    </row>
    <row r="241" spans="1:20" ht="15" customHeight="1" x14ac:dyDescent="0.25">
      <c r="A241" s="5">
        <v>46155</v>
      </c>
      <c r="B241" s="6" t="s">
        <v>30</v>
      </c>
      <c r="C241" s="6" t="s">
        <v>48</v>
      </c>
      <c r="D241" s="6" t="s">
        <v>49</v>
      </c>
      <c r="E241" s="6" t="s">
        <v>40</v>
      </c>
      <c r="F241" s="6">
        <v>4</v>
      </c>
      <c r="G241" s="7">
        <v>1715.55</v>
      </c>
      <c r="H241" s="7">
        <v>888.85</v>
      </c>
      <c r="I241" s="7">
        <v>6862.2</v>
      </c>
      <c r="J241" s="7">
        <v>3555.4</v>
      </c>
      <c r="K241" s="7">
        <v>3306.8</v>
      </c>
      <c r="L241" t="e">
        <f>IF($E241="Maquillaje",$G241,NA())</f>
        <v>#N/A</v>
      </c>
      <c r="M241" t="e">
        <f>IF($E241="Maquillaje",$H241,NA())</f>
        <v>#N/A</v>
      </c>
      <c r="N241" t="e">
        <f>IF($E241="Perfumería",$G241,NA())</f>
        <v>#N/A</v>
      </c>
      <c r="O241" t="e">
        <f>IF($E241="Perfumería",$H241,NA())</f>
        <v>#N/A</v>
      </c>
      <c r="P241" s="8">
        <f>IF($E241="Cuidado Facial",$G241,NA())</f>
        <v>1715.55</v>
      </c>
      <c r="Q241" s="8">
        <f>IF($E241="Cuidado Facial",$H241,NA())</f>
        <v>888.85</v>
      </c>
      <c r="R241" t="e">
        <f>IF($E241="Capilar",$G241,NA())</f>
        <v>#N/A</v>
      </c>
      <c r="S241" t="e">
        <f>IF($E241="Capilar",$H241,NA())</f>
        <v>#N/A</v>
      </c>
      <c r="T241" s="6" t="str">
        <f t="shared" si="3"/>
        <v>Mayo</v>
      </c>
    </row>
    <row r="242" spans="1:20" ht="15" customHeight="1" x14ac:dyDescent="0.25">
      <c r="A242" s="5">
        <v>46088</v>
      </c>
      <c r="B242" s="6" t="s">
        <v>34</v>
      </c>
      <c r="C242" s="6" t="s">
        <v>35</v>
      </c>
      <c r="D242" s="6" t="s">
        <v>45</v>
      </c>
      <c r="E242" s="6" t="s">
        <v>43</v>
      </c>
      <c r="F242" s="6">
        <v>6</v>
      </c>
      <c r="G242" s="7">
        <v>999.19</v>
      </c>
      <c r="H242" s="7">
        <v>588.35</v>
      </c>
      <c r="I242" s="7">
        <v>5995.14</v>
      </c>
      <c r="J242" s="7">
        <v>3530.1</v>
      </c>
      <c r="K242" s="7">
        <v>2465.04</v>
      </c>
      <c r="L242" t="e">
        <f>IF($E242="Maquillaje",$G242,NA())</f>
        <v>#N/A</v>
      </c>
      <c r="M242" t="e">
        <f>IF($E242="Maquillaje",$H242,NA())</f>
        <v>#N/A</v>
      </c>
      <c r="N242" t="e">
        <f>IF($E242="Perfumería",$G242,NA())</f>
        <v>#N/A</v>
      </c>
      <c r="O242" t="e">
        <f>IF($E242="Perfumería",$H242,NA())</f>
        <v>#N/A</v>
      </c>
      <c r="P242" t="e">
        <f>IF($E242="Cuidado Facial",$G242,NA())</f>
        <v>#N/A</v>
      </c>
      <c r="Q242" t="e">
        <f>IF($E242="Cuidado Facial",$H242,NA())</f>
        <v>#N/A</v>
      </c>
      <c r="R242" s="8">
        <f>IF($E242="Capilar",$G242,NA())</f>
        <v>999.19</v>
      </c>
      <c r="S242" s="8">
        <f>IF($E242="Capilar",$H242,NA())</f>
        <v>588.35</v>
      </c>
      <c r="T242" s="6" t="str">
        <f t="shared" si="3"/>
        <v>Marzo</v>
      </c>
    </row>
    <row r="243" spans="1:20" ht="15" customHeight="1" x14ac:dyDescent="0.25">
      <c r="A243" s="5">
        <v>46154</v>
      </c>
      <c r="B243" s="6" t="s">
        <v>34</v>
      </c>
      <c r="C243" s="6" t="s">
        <v>35</v>
      </c>
      <c r="D243" s="6" t="s">
        <v>49</v>
      </c>
      <c r="E243" s="6" t="s">
        <v>40</v>
      </c>
      <c r="F243" s="6">
        <v>11</v>
      </c>
      <c r="G243" s="7">
        <v>1693.13</v>
      </c>
      <c r="H243" s="7">
        <v>964.83</v>
      </c>
      <c r="I243" s="7">
        <v>18624.43</v>
      </c>
      <c r="J243" s="7">
        <v>10613.13</v>
      </c>
      <c r="K243" s="7">
        <v>8011.3</v>
      </c>
      <c r="L243" t="e">
        <f>IF($E243="Maquillaje",$G243,NA())</f>
        <v>#N/A</v>
      </c>
      <c r="M243" t="e">
        <f>IF($E243="Maquillaje",$H243,NA())</f>
        <v>#N/A</v>
      </c>
      <c r="N243" t="e">
        <f>IF($E243="Perfumería",$G243,NA())</f>
        <v>#N/A</v>
      </c>
      <c r="O243" t="e">
        <f>IF($E243="Perfumería",$H243,NA())</f>
        <v>#N/A</v>
      </c>
      <c r="P243" s="8">
        <f>IF($E243="Cuidado Facial",$G243,NA())</f>
        <v>1693.13</v>
      </c>
      <c r="Q243" s="8">
        <f>IF($E243="Cuidado Facial",$H243,NA())</f>
        <v>964.83</v>
      </c>
      <c r="R243" t="e">
        <f>IF($E243="Capilar",$G243,NA())</f>
        <v>#N/A</v>
      </c>
      <c r="S243" t="e">
        <f>IF($E243="Capilar",$H243,NA())</f>
        <v>#N/A</v>
      </c>
      <c r="T243" s="6" t="str">
        <f t="shared" si="3"/>
        <v>Mayo</v>
      </c>
    </row>
    <row r="244" spans="1:20" ht="15" customHeight="1" x14ac:dyDescent="0.25">
      <c r="A244" s="5">
        <v>46235</v>
      </c>
      <c r="B244" s="6" t="s">
        <v>38</v>
      </c>
      <c r="C244" s="6" t="s">
        <v>31</v>
      </c>
      <c r="D244" s="6" t="s">
        <v>45</v>
      </c>
      <c r="E244" s="6" t="s">
        <v>43</v>
      </c>
      <c r="F244" s="6">
        <v>12</v>
      </c>
      <c r="G244" s="7">
        <v>1174.71</v>
      </c>
      <c r="H244" s="7">
        <v>550.47</v>
      </c>
      <c r="I244" s="7">
        <v>14096.52</v>
      </c>
      <c r="J244" s="7">
        <v>6605.64</v>
      </c>
      <c r="K244" s="7">
        <v>7490.88</v>
      </c>
      <c r="L244" t="e">
        <f>IF($E244="Maquillaje",$G244,NA())</f>
        <v>#N/A</v>
      </c>
      <c r="M244" t="e">
        <f>IF($E244="Maquillaje",$H244,NA())</f>
        <v>#N/A</v>
      </c>
      <c r="N244" t="e">
        <f>IF($E244="Perfumería",$G244,NA())</f>
        <v>#N/A</v>
      </c>
      <c r="O244" t="e">
        <f>IF($E244="Perfumería",$H244,NA())</f>
        <v>#N/A</v>
      </c>
      <c r="P244" t="e">
        <f>IF($E244="Cuidado Facial",$G244,NA())</f>
        <v>#N/A</v>
      </c>
      <c r="Q244" t="e">
        <f>IF($E244="Cuidado Facial",$H244,NA())</f>
        <v>#N/A</v>
      </c>
      <c r="R244" s="8">
        <f>IF($E244="Capilar",$G244,NA())</f>
        <v>1174.71</v>
      </c>
      <c r="S244" s="8">
        <f>IF($E244="Capilar",$H244,NA())</f>
        <v>550.47</v>
      </c>
      <c r="T244" s="6" t="str">
        <f t="shared" si="3"/>
        <v>Agosto</v>
      </c>
    </row>
    <row r="245" spans="1:20" ht="15" customHeight="1" x14ac:dyDescent="0.25">
      <c r="A245" s="5">
        <v>46274</v>
      </c>
      <c r="B245" s="6" t="s">
        <v>30</v>
      </c>
      <c r="C245" s="6" t="s">
        <v>31</v>
      </c>
      <c r="D245" s="6" t="s">
        <v>32</v>
      </c>
      <c r="E245" s="6" t="s">
        <v>33</v>
      </c>
      <c r="F245" s="6">
        <v>9</v>
      </c>
      <c r="G245" s="7">
        <v>3087.6</v>
      </c>
      <c r="H245" s="7">
        <v>1812.94</v>
      </c>
      <c r="I245" s="7">
        <v>27788.400000000001</v>
      </c>
      <c r="J245" s="7">
        <v>16316.46</v>
      </c>
      <c r="K245" s="7">
        <v>11471.94</v>
      </c>
      <c r="L245" t="e">
        <f>IF($E245="Maquillaje",$G245,NA())</f>
        <v>#N/A</v>
      </c>
      <c r="M245" t="e">
        <f>IF($E245="Maquillaje",$H245,NA())</f>
        <v>#N/A</v>
      </c>
      <c r="N245">
        <f>IF($E245="Perfumería",$G245,NA())</f>
        <v>3087.6</v>
      </c>
      <c r="O245">
        <f>IF($E245="Perfumería",$H245,NA())</f>
        <v>1812.94</v>
      </c>
      <c r="P245" t="e">
        <f>IF($E245="Cuidado Facial",$G245,NA())</f>
        <v>#N/A</v>
      </c>
      <c r="Q245" t="e">
        <f>IF($E245="Cuidado Facial",$H245,NA())</f>
        <v>#N/A</v>
      </c>
      <c r="R245" t="e">
        <f>IF($E245="Capilar",$G245,NA())</f>
        <v>#N/A</v>
      </c>
      <c r="S245" t="e">
        <f>IF($E245="Capilar",$H245,NA())</f>
        <v>#N/A</v>
      </c>
      <c r="T245" s="6" t="str">
        <f t="shared" si="3"/>
        <v>Septiembre</v>
      </c>
    </row>
    <row r="246" spans="1:20" ht="15" customHeight="1" x14ac:dyDescent="0.25">
      <c r="A246" s="5">
        <v>46083</v>
      </c>
      <c r="B246" s="6" t="s">
        <v>30</v>
      </c>
      <c r="C246" s="6" t="s">
        <v>35</v>
      </c>
      <c r="D246" s="6" t="s">
        <v>36</v>
      </c>
      <c r="E246" s="6" t="s">
        <v>37</v>
      </c>
      <c r="F246" s="6">
        <v>2</v>
      </c>
      <c r="G246" s="7">
        <v>1550.96</v>
      </c>
      <c r="H246" s="7">
        <v>735.64</v>
      </c>
      <c r="I246" s="7">
        <v>3101.92</v>
      </c>
      <c r="J246" s="7">
        <v>1471.28</v>
      </c>
      <c r="K246" s="7">
        <v>1630.64</v>
      </c>
      <c r="L246" s="8">
        <f>IF($E246="Maquillaje",$G246,NA())</f>
        <v>1550.96</v>
      </c>
      <c r="M246" s="8">
        <f>IF($E246="Maquillaje",$H246,NA())</f>
        <v>735.64</v>
      </c>
      <c r="N246" t="e">
        <f>IF($E246="Perfumería",$G246,NA())</f>
        <v>#N/A</v>
      </c>
      <c r="O246" t="e">
        <f>IF($E246="Perfumería",$H246,NA())</f>
        <v>#N/A</v>
      </c>
      <c r="P246" t="e">
        <f>IF($E246="Cuidado Facial",$G246,NA())</f>
        <v>#N/A</v>
      </c>
      <c r="Q246" t="e">
        <f>IF($E246="Cuidado Facial",$H246,NA())</f>
        <v>#N/A</v>
      </c>
      <c r="R246" t="e">
        <f>IF($E246="Capilar",$G246,NA())</f>
        <v>#N/A</v>
      </c>
      <c r="S246" t="e">
        <f>IF($E246="Capilar",$H246,NA())</f>
        <v>#N/A</v>
      </c>
      <c r="T246" s="6" t="str">
        <f t="shared" si="3"/>
        <v>Marzo</v>
      </c>
    </row>
    <row r="247" spans="1:20" ht="15" customHeight="1" x14ac:dyDescent="0.25">
      <c r="A247" s="5">
        <v>46194</v>
      </c>
      <c r="B247" s="6" t="s">
        <v>30</v>
      </c>
      <c r="C247" s="6" t="s">
        <v>35</v>
      </c>
      <c r="D247" s="6" t="s">
        <v>47</v>
      </c>
      <c r="E247" s="6" t="s">
        <v>33</v>
      </c>
      <c r="F247" s="6">
        <v>14</v>
      </c>
      <c r="G247" s="7">
        <v>2912.06</v>
      </c>
      <c r="H247" s="7">
        <v>1640.49</v>
      </c>
      <c r="I247" s="7">
        <v>40768.839999999997</v>
      </c>
      <c r="J247" s="7">
        <v>22966.86</v>
      </c>
      <c r="K247" s="7">
        <v>17801.98</v>
      </c>
      <c r="L247" t="e">
        <f>IF($E247="Maquillaje",$G247,NA())</f>
        <v>#N/A</v>
      </c>
      <c r="M247" t="e">
        <f>IF($E247="Maquillaje",$H247,NA())</f>
        <v>#N/A</v>
      </c>
      <c r="N247">
        <f>IF($E247="Perfumería",$G247,NA())</f>
        <v>2912.06</v>
      </c>
      <c r="O247">
        <f>IF($E247="Perfumería",$H247,NA())</f>
        <v>1640.49</v>
      </c>
      <c r="P247" t="e">
        <f>IF($E247="Cuidado Facial",$G247,NA())</f>
        <v>#N/A</v>
      </c>
      <c r="Q247" t="e">
        <f>IF($E247="Cuidado Facial",$H247,NA())</f>
        <v>#N/A</v>
      </c>
      <c r="R247" t="e">
        <f>IF($E247="Capilar",$G247,NA())</f>
        <v>#N/A</v>
      </c>
      <c r="S247" t="e">
        <f>IF($E247="Capilar",$H247,NA())</f>
        <v>#N/A</v>
      </c>
      <c r="T247" s="6" t="str">
        <f t="shared" si="3"/>
        <v>Junio</v>
      </c>
    </row>
    <row r="248" spans="1:20" ht="15" customHeight="1" x14ac:dyDescent="0.25">
      <c r="A248" s="5">
        <v>46118</v>
      </c>
      <c r="B248" s="6" t="s">
        <v>34</v>
      </c>
      <c r="C248" s="6" t="s">
        <v>35</v>
      </c>
      <c r="D248" s="6" t="s">
        <v>49</v>
      </c>
      <c r="E248" s="6" t="s">
        <v>40</v>
      </c>
      <c r="F248" s="6">
        <v>5</v>
      </c>
      <c r="G248" s="7">
        <v>1859.02</v>
      </c>
      <c r="H248" s="7">
        <v>863.78</v>
      </c>
      <c r="I248" s="7">
        <v>9295.1</v>
      </c>
      <c r="J248" s="7">
        <v>4318.8999999999996</v>
      </c>
      <c r="K248" s="7">
        <v>4976.2</v>
      </c>
      <c r="L248" t="e">
        <f>IF($E248="Maquillaje",$G248,NA())</f>
        <v>#N/A</v>
      </c>
      <c r="M248" t="e">
        <f>IF($E248="Maquillaje",$H248,NA())</f>
        <v>#N/A</v>
      </c>
      <c r="N248" t="e">
        <f>IF($E248="Perfumería",$G248,NA())</f>
        <v>#N/A</v>
      </c>
      <c r="O248" t="e">
        <f>IF($E248="Perfumería",$H248,NA())</f>
        <v>#N/A</v>
      </c>
      <c r="P248" s="8">
        <f>IF($E248="Cuidado Facial",$G248,NA())</f>
        <v>1859.02</v>
      </c>
      <c r="Q248" s="8">
        <f>IF($E248="Cuidado Facial",$H248,NA())</f>
        <v>863.78</v>
      </c>
      <c r="R248" t="e">
        <f>IF($E248="Capilar",$G248,NA())</f>
        <v>#N/A</v>
      </c>
      <c r="S248" t="e">
        <f>IF($E248="Capilar",$H248,NA())</f>
        <v>#N/A</v>
      </c>
      <c r="T248" s="6" t="str">
        <f t="shared" si="3"/>
        <v>Abril</v>
      </c>
    </row>
    <row r="249" spans="1:20" ht="15" customHeight="1" x14ac:dyDescent="0.25">
      <c r="A249" s="5">
        <v>46180</v>
      </c>
      <c r="B249" s="6" t="s">
        <v>41</v>
      </c>
      <c r="C249" s="6" t="s">
        <v>35</v>
      </c>
      <c r="D249" s="6" t="s">
        <v>39</v>
      </c>
      <c r="E249" s="6" t="s">
        <v>40</v>
      </c>
      <c r="F249" s="6">
        <v>3</v>
      </c>
      <c r="G249" s="7">
        <v>1911.89</v>
      </c>
      <c r="H249" s="7">
        <v>1057.74</v>
      </c>
      <c r="I249" s="7">
        <v>5735.67</v>
      </c>
      <c r="J249" s="7">
        <v>3173.22</v>
      </c>
      <c r="K249" s="7">
        <v>2562.4499999999998</v>
      </c>
      <c r="L249" t="e">
        <f>IF($E249="Maquillaje",$G249,NA())</f>
        <v>#N/A</v>
      </c>
      <c r="M249" t="e">
        <f>IF($E249="Maquillaje",$H249,NA())</f>
        <v>#N/A</v>
      </c>
      <c r="N249" t="e">
        <f>IF($E249="Perfumería",$G249,NA())</f>
        <v>#N/A</v>
      </c>
      <c r="O249" t="e">
        <f>IF($E249="Perfumería",$H249,NA())</f>
        <v>#N/A</v>
      </c>
      <c r="P249" s="8">
        <f>IF($E249="Cuidado Facial",$G249,NA())</f>
        <v>1911.89</v>
      </c>
      <c r="Q249" s="8">
        <f>IF($E249="Cuidado Facial",$H249,NA())</f>
        <v>1057.74</v>
      </c>
      <c r="R249" t="e">
        <f>IF($E249="Capilar",$G249,NA())</f>
        <v>#N/A</v>
      </c>
      <c r="S249" t="e">
        <f>IF($E249="Capilar",$H249,NA())</f>
        <v>#N/A</v>
      </c>
      <c r="T249" s="6" t="str">
        <f t="shared" si="3"/>
        <v>Junio</v>
      </c>
    </row>
    <row r="250" spans="1:20" ht="15" customHeight="1" x14ac:dyDescent="0.25">
      <c r="A250" s="5">
        <v>46135</v>
      </c>
      <c r="B250" s="6" t="s">
        <v>34</v>
      </c>
      <c r="C250" s="6" t="s">
        <v>35</v>
      </c>
      <c r="D250" s="6" t="s">
        <v>45</v>
      </c>
      <c r="E250" s="6" t="s">
        <v>43</v>
      </c>
      <c r="F250" s="6">
        <v>15</v>
      </c>
      <c r="G250" s="7">
        <v>1150.1199999999999</v>
      </c>
      <c r="H250" s="7">
        <v>526.83000000000004</v>
      </c>
      <c r="I250" s="7">
        <v>17251.8</v>
      </c>
      <c r="J250" s="7">
        <v>7902.45</v>
      </c>
      <c r="K250" s="7">
        <v>9349.35</v>
      </c>
      <c r="L250" t="e">
        <f>IF($E250="Maquillaje",$G250,NA())</f>
        <v>#N/A</v>
      </c>
      <c r="M250" t="e">
        <f>IF($E250="Maquillaje",$H250,NA())</f>
        <v>#N/A</v>
      </c>
      <c r="N250" t="e">
        <f>IF($E250="Perfumería",$G250,NA())</f>
        <v>#N/A</v>
      </c>
      <c r="O250" t="e">
        <f>IF($E250="Perfumería",$H250,NA())</f>
        <v>#N/A</v>
      </c>
      <c r="P250" t="e">
        <f>IF($E250="Cuidado Facial",$G250,NA())</f>
        <v>#N/A</v>
      </c>
      <c r="Q250" t="e">
        <f>IF($E250="Cuidado Facial",$H250,NA())</f>
        <v>#N/A</v>
      </c>
      <c r="R250" s="8">
        <f>IF($E250="Capilar",$G250,NA())</f>
        <v>1150.1199999999999</v>
      </c>
      <c r="S250" s="8">
        <f>IF($E250="Capilar",$H250,NA())</f>
        <v>526.83000000000004</v>
      </c>
      <c r="T250" s="6" t="str">
        <f t="shared" si="3"/>
        <v>Abril</v>
      </c>
    </row>
    <row r="251" spans="1:20" ht="15" customHeight="1" x14ac:dyDescent="0.25">
      <c r="A251" s="5">
        <v>46086</v>
      </c>
      <c r="B251" s="6" t="s">
        <v>30</v>
      </c>
      <c r="C251" s="6" t="s">
        <v>31</v>
      </c>
      <c r="D251" s="6" t="s">
        <v>47</v>
      </c>
      <c r="E251" s="6" t="s">
        <v>33</v>
      </c>
      <c r="F251" s="6">
        <v>15</v>
      </c>
      <c r="G251" s="7">
        <v>3341.62</v>
      </c>
      <c r="H251" s="7">
        <v>1675.9</v>
      </c>
      <c r="I251" s="7">
        <v>50124.3</v>
      </c>
      <c r="J251" s="7">
        <v>25138.5</v>
      </c>
      <c r="K251" s="7">
        <v>24985.8</v>
      </c>
      <c r="L251" t="e">
        <f>IF($E251="Maquillaje",$G251,NA())</f>
        <v>#N/A</v>
      </c>
      <c r="M251" t="e">
        <f>IF($E251="Maquillaje",$H251,NA())</f>
        <v>#N/A</v>
      </c>
      <c r="N251" s="8">
        <f>IF($E251="Perfumería",$G251,NA())</f>
        <v>3341.62</v>
      </c>
      <c r="O251" s="8">
        <f>IF($E251="Perfumería",$H251,NA())</f>
        <v>1675.9</v>
      </c>
      <c r="P251" t="e">
        <f>IF($E251="Cuidado Facial",$G251,NA())</f>
        <v>#N/A</v>
      </c>
      <c r="Q251" t="e">
        <f>IF($E251="Cuidado Facial",$H251,NA())</f>
        <v>#N/A</v>
      </c>
      <c r="R251" t="e">
        <f>IF($E251="Capilar",$G251,NA())</f>
        <v>#N/A</v>
      </c>
      <c r="S251" t="e">
        <f>IF($E251="Capilar",$H251,NA())</f>
        <v>#N/A</v>
      </c>
      <c r="T251" s="6" t="str">
        <f t="shared" si="3"/>
        <v>Marzo</v>
      </c>
    </row>
    <row r="252" spans="1:20" ht="15" customHeight="1" x14ac:dyDescent="0.25">
      <c r="A252" s="5">
        <v>46173</v>
      </c>
      <c r="B252" s="6" t="s">
        <v>38</v>
      </c>
      <c r="C252" s="6" t="s">
        <v>31</v>
      </c>
      <c r="D252" s="6" t="s">
        <v>32</v>
      </c>
      <c r="E252" s="6" t="s">
        <v>33</v>
      </c>
      <c r="F252" s="6">
        <v>2</v>
      </c>
      <c r="G252" s="7">
        <v>3376.65</v>
      </c>
      <c r="H252" s="7">
        <v>1645.57</v>
      </c>
      <c r="I252" s="7">
        <v>6753.3</v>
      </c>
      <c r="J252" s="7">
        <v>3291.14</v>
      </c>
      <c r="K252" s="7">
        <v>3462.16</v>
      </c>
      <c r="L252" t="e">
        <f>IF($E252="Maquillaje",$G252,NA())</f>
        <v>#N/A</v>
      </c>
      <c r="M252" t="e">
        <f>IF($E252="Maquillaje",$H252,NA())</f>
        <v>#N/A</v>
      </c>
      <c r="N252" s="8">
        <f>IF($E252="Perfumería",$G252,NA())</f>
        <v>3376.65</v>
      </c>
      <c r="O252" s="8">
        <f>IF($E252="Perfumería",$H252,NA())</f>
        <v>1645.57</v>
      </c>
      <c r="P252" t="e">
        <f>IF($E252="Cuidado Facial",$G252,NA())</f>
        <v>#N/A</v>
      </c>
      <c r="Q252" t="e">
        <f>IF($E252="Cuidado Facial",$H252,NA())</f>
        <v>#N/A</v>
      </c>
      <c r="R252" t="e">
        <f>IF($E252="Capilar",$G252,NA())</f>
        <v>#N/A</v>
      </c>
      <c r="S252" t="e">
        <f>IF($E252="Capilar",$H252,NA())</f>
        <v>#N/A</v>
      </c>
      <c r="T252" s="6" t="str">
        <f t="shared" si="3"/>
        <v>Mayo</v>
      </c>
    </row>
    <row r="253" spans="1:20" ht="15" customHeight="1" x14ac:dyDescent="0.25">
      <c r="A253" s="5">
        <v>46154</v>
      </c>
      <c r="B253" s="6" t="s">
        <v>34</v>
      </c>
      <c r="C253" s="6" t="s">
        <v>35</v>
      </c>
      <c r="D253" s="6" t="s">
        <v>44</v>
      </c>
      <c r="E253" s="6" t="s">
        <v>37</v>
      </c>
      <c r="F253" s="6">
        <v>3</v>
      </c>
      <c r="G253" s="7">
        <v>1090.02</v>
      </c>
      <c r="H253" s="7">
        <v>693.7</v>
      </c>
      <c r="I253" s="7">
        <v>3270.06</v>
      </c>
      <c r="J253" s="7">
        <v>2081.1</v>
      </c>
      <c r="K253" s="7">
        <v>1188.96</v>
      </c>
      <c r="L253" s="8">
        <f>IF($E253="Maquillaje",$G253,NA())</f>
        <v>1090.02</v>
      </c>
      <c r="M253" s="8">
        <f>IF($E253="Maquillaje",$H253,NA())</f>
        <v>693.7</v>
      </c>
      <c r="N253" t="e">
        <f>IF($E253="Perfumería",$G253,NA())</f>
        <v>#N/A</v>
      </c>
      <c r="O253" t="e">
        <f>IF($E253="Perfumería",$H253,NA())</f>
        <v>#N/A</v>
      </c>
      <c r="P253" t="e">
        <f>IF($E253="Cuidado Facial",$G253,NA())</f>
        <v>#N/A</v>
      </c>
      <c r="Q253" t="e">
        <f>IF($E253="Cuidado Facial",$H253,NA())</f>
        <v>#N/A</v>
      </c>
      <c r="R253" t="e">
        <f>IF($E253="Capilar",$G253,NA())</f>
        <v>#N/A</v>
      </c>
      <c r="S253" t="e">
        <f>IF($E253="Capilar",$H253,NA())</f>
        <v>#N/A</v>
      </c>
      <c r="T253" s="6" t="str">
        <f t="shared" si="3"/>
        <v>Mayo</v>
      </c>
    </row>
    <row r="254" spans="1:20" ht="15" customHeight="1" x14ac:dyDescent="0.25">
      <c r="A254" s="5">
        <v>46186</v>
      </c>
      <c r="B254" s="6" t="s">
        <v>46</v>
      </c>
      <c r="C254" s="6" t="s">
        <v>31</v>
      </c>
      <c r="D254" s="6" t="s">
        <v>39</v>
      </c>
      <c r="E254" s="6" t="s">
        <v>40</v>
      </c>
      <c r="F254" s="6">
        <v>9</v>
      </c>
      <c r="G254" s="7">
        <v>2243.35</v>
      </c>
      <c r="H254" s="7">
        <v>976.9</v>
      </c>
      <c r="I254" s="7">
        <v>20190.150000000001</v>
      </c>
      <c r="J254" s="7">
        <v>8792.1</v>
      </c>
      <c r="K254" s="7">
        <v>11398.05</v>
      </c>
      <c r="L254" t="e">
        <f>IF($E254="Maquillaje",$G254,NA())</f>
        <v>#N/A</v>
      </c>
      <c r="M254" t="e">
        <f>IF($E254="Maquillaje",$H254,NA())</f>
        <v>#N/A</v>
      </c>
      <c r="N254" t="e">
        <f>IF($E254="Perfumería",$G254,NA())</f>
        <v>#N/A</v>
      </c>
      <c r="O254" t="e">
        <f>IF($E254="Perfumería",$H254,NA())</f>
        <v>#N/A</v>
      </c>
      <c r="P254" s="8">
        <f>IF($E254="Cuidado Facial",$G254,NA())</f>
        <v>2243.35</v>
      </c>
      <c r="Q254" s="8">
        <f>IF($E254="Cuidado Facial",$H254,NA())</f>
        <v>976.9</v>
      </c>
      <c r="R254" t="e">
        <f>IF($E254="Capilar",$G254,NA())</f>
        <v>#N/A</v>
      </c>
      <c r="S254" t="e">
        <f>IF($E254="Capilar",$H254,NA())</f>
        <v>#N/A</v>
      </c>
      <c r="T254" s="6" t="str">
        <f t="shared" si="3"/>
        <v>Junio</v>
      </c>
    </row>
    <row r="255" spans="1:20" ht="15" customHeight="1" x14ac:dyDescent="0.25">
      <c r="A255" s="5">
        <v>46039</v>
      </c>
      <c r="B255" s="6" t="s">
        <v>30</v>
      </c>
      <c r="C255" s="6" t="s">
        <v>31</v>
      </c>
      <c r="D255" s="6" t="s">
        <v>32</v>
      </c>
      <c r="E255" s="6" t="s">
        <v>33</v>
      </c>
      <c r="F255" s="6">
        <v>9</v>
      </c>
      <c r="G255" s="7">
        <v>3532.05</v>
      </c>
      <c r="H255" s="7">
        <v>1644.35</v>
      </c>
      <c r="I255" s="7">
        <v>31788.45</v>
      </c>
      <c r="J255" s="7">
        <v>14799.15</v>
      </c>
      <c r="K255" s="7">
        <v>16989.3</v>
      </c>
      <c r="L255" t="e">
        <f>IF($E255="Maquillaje",$G255,NA())</f>
        <v>#N/A</v>
      </c>
      <c r="M255" t="e">
        <f>IF($E255="Maquillaje",$H255,NA())</f>
        <v>#N/A</v>
      </c>
      <c r="N255" s="8">
        <f>IF($E255="Perfumería",$G255,NA())</f>
        <v>3532.05</v>
      </c>
      <c r="O255" s="8">
        <f>IF($E255="Perfumería",$H255,NA())</f>
        <v>1644.35</v>
      </c>
      <c r="P255" t="e">
        <f>IF($E255="Cuidado Facial",$G255,NA())</f>
        <v>#N/A</v>
      </c>
      <c r="Q255" t="e">
        <f>IF($E255="Cuidado Facial",$H255,NA())</f>
        <v>#N/A</v>
      </c>
      <c r="R255" t="e">
        <f>IF($E255="Capilar",$G255,NA())</f>
        <v>#N/A</v>
      </c>
      <c r="S255" t="e">
        <f>IF($E255="Capilar",$H255,NA())</f>
        <v>#N/A</v>
      </c>
      <c r="T255" s="6" t="str">
        <f t="shared" si="3"/>
        <v>Enero</v>
      </c>
    </row>
    <row r="256" spans="1:20" ht="15" customHeight="1" x14ac:dyDescent="0.25">
      <c r="A256" s="5">
        <v>46228</v>
      </c>
      <c r="B256" s="6" t="s">
        <v>34</v>
      </c>
      <c r="C256" s="6" t="s">
        <v>35</v>
      </c>
      <c r="D256" s="6" t="s">
        <v>36</v>
      </c>
      <c r="E256" s="6" t="s">
        <v>37</v>
      </c>
      <c r="F256" s="6">
        <v>8</v>
      </c>
      <c r="G256" s="7">
        <v>1405.91</v>
      </c>
      <c r="H256" s="7">
        <v>819.06</v>
      </c>
      <c r="I256" s="7">
        <v>11247.28</v>
      </c>
      <c r="J256" s="7">
        <v>6552.48</v>
      </c>
      <c r="K256" s="7">
        <v>4694.8</v>
      </c>
      <c r="L256" s="8">
        <f>IF($E256="Maquillaje",$G256,NA())</f>
        <v>1405.91</v>
      </c>
      <c r="M256" s="8">
        <f>IF($E256="Maquillaje",$H256,NA())</f>
        <v>819.06</v>
      </c>
      <c r="N256" t="e">
        <f>IF($E256="Perfumería",$G256,NA())</f>
        <v>#N/A</v>
      </c>
      <c r="O256" t="e">
        <f>IF($E256="Perfumería",$H256,NA())</f>
        <v>#N/A</v>
      </c>
      <c r="P256" t="e">
        <f>IF($E256="Cuidado Facial",$G256,NA())</f>
        <v>#N/A</v>
      </c>
      <c r="Q256" t="e">
        <f>IF($E256="Cuidado Facial",$H256,NA())</f>
        <v>#N/A</v>
      </c>
      <c r="R256" t="e">
        <f>IF($E256="Capilar",$G256,NA())</f>
        <v>#N/A</v>
      </c>
      <c r="S256" t="e">
        <f>IF($E256="Capilar",$H256,NA())</f>
        <v>#N/A</v>
      </c>
      <c r="T256" s="6" t="str">
        <f t="shared" si="3"/>
        <v>Julio</v>
      </c>
    </row>
    <row r="257" spans="1:20" ht="15" customHeight="1" x14ac:dyDescent="0.25">
      <c r="A257" s="5">
        <v>46271</v>
      </c>
      <c r="B257" s="6" t="s">
        <v>34</v>
      </c>
      <c r="C257" s="6" t="s">
        <v>35</v>
      </c>
      <c r="D257" s="6" t="s">
        <v>47</v>
      </c>
      <c r="E257" s="6" t="s">
        <v>33</v>
      </c>
      <c r="F257" s="6">
        <v>5</v>
      </c>
      <c r="G257" s="7">
        <v>3371.38</v>
      </c>
      <c r="H257" s="7">
        <v>1684.82</v>
      </c>
      <c r="I257" s="7">
        <v>16856.900000000001</v>
      </c>
      <c r="J257" s="7">
        <v>8424.1</v>
      </c>
      <c r="K257" s="7">
        <v>8432.7999999999993</v>
      </c>
      <c r="L257" t="e">
        <f>IF($E257="Maquillaje",$G257,NA())</f>
        <v>#N/A</v>
      </c>
      <c r="M257" t="e">
        <f>IF($E257="Maquillaje",$H257,NA())</f>
        <v>#N/A</v>
      </c>
      <c r="N257">
        <f>IF($E257="Perfumería",$G257,NA())</f>
        <v>3371.38</v>
      </c>
      <c r="O257">
        <f>IF($E257="Perfumería",$H257,NA())</f>
        <v>1684.82</v>
      </c>
      <c r="P257" t="e">
        <f>IF($E257="Cuidado Facial",$G257,NA())</f>
        <v>#N/A</v>
      </c>
      <c r="Q257" t="e">
        <f>IF($E257="Cuidado Facial",$H257,NA())</f>
        <v>#N/A</v>
      </c>
      <c r="R257" t="e">
        <f>IF($E257="Capilar",$G257,NA())</f>
        <v>#N/A</v>
      </c>
      <c r="S257" t="e">
        <f>IF($E257="Capilar",$H257,NA())</f>
        <v>#N/A</v>
      </c>
      <c r="T257" s="6" t="str">
        <f t="shared" si="3"/>
        <v>Septiembre</v>
      </c>
    </row>
    <row r="258" spans="1:20" ht="15" customHeight="1" x14ac:dyDescent="0.25">
      <c r="A258" s="5">
        <v>46320</v>
      </c>
      <c r="B258" s="6" t="s">
        <v>30</v>
      </c>
      <c r="C258" s="6" t="s">
        <v>48</v>
      </c>
      <c r="D258" s="6" t="s">
        <v>47</v>
      </c>
      <c r="E258" s="6" t="s">
        <v>33</v>
      </c>
      <c r="F258" s="6">
        <v>5</v>
      </c>
      <c r="G258" s="7">
        <v>2912.04</v>
      </c>
      <c r="H258" s="7">
        <v>1546.6</v>
      </c>
      <c r="I258" s="7">
        <v>14560.2</v>
      </c>
      <c r="J258" s="7">
        <v>7733</v>
      </c>
      <c r="K258" s="7">
        <v>6827.2</v>
      </c>
      <c r="L258" t="e">
        <f>IF($E258="Maquillaje",$G258,NA())</f>
        <v>#N/A</v>
      </c>
      <c r="M258" t="e">
        <f>IF($E258="Maquillaje",$H258,NA())</f>
        <v>#N/A</v>
      </c>
      <c r="N258" s="8">
        <f>IF($E258="Perfumería",$G258,NA())</f>
        <v>2912.04</v>
      </c>
      <c r="O258" s="8">
        <f>IF($E258="Perfumería",$H258,NA())</f>
        <v>1546.6</v>
      </c>
      <c r="P258" t="e">
        <f>IF($E258="Cuidado Facial",$G258,NA())</f>
        <v>#N/A</v>
      </c>
      <c r="Q258" t="e">
        <f>IF($E258="Cuidado Facial",$H258,NA())</f>
        <v>#N/A</v>
      </c>
      <c r="R258" t="e">
        <f>IF($E258="Capilar",$G258,NA())</f>
        <v>#N/A</v>
      </c>
      <c r="S258" t="e">
        <f>IF($E258="Capilar",$H258,NA())</f>
        <v>#N/A</v>
      </c>
      <c r="T258" s="6" t="str">
        <f t="shared" ref="T258:T321" si="4">CHOOSE(MONTH(A258),"Enero","Febrero","Marzo","Abril","Mayo","Junio","Julio","Agosto","Septiembre","Octubre","Noviembre","Diciembre")</f>
        <v>Octubre</v>
      </c>
    </row>
    <row r="259" spans="1:20" ht="15" customHeight="1" x14ac:dyDescent="0.25">
      <c r="A259" s="5">
        <v>46319</v>
      </c>
      <c r="B259" s="6" t="s">
        <v>46</v>
      </c>
      <c r="C259" s="6" t="s">
        <v>31</v>
      </c>
      <c r="D259" s="6" t="s">
        <v>49</v>
      </c>
      <c r="E259" s="6" t="s">
        <v>40</v>
      </c>
      <c r="F259" s="6">
        <v>6</v>
      </c>
      <c r="G259" s="7">
        <v>1881.94</v>
      </c>
      <c r="H259" s="7">
        <v>942.16</v>
      </c>
      <c r="I259" s="7">
        <v>11291.64</v>
      </c>
      <c r="J259" s="7">
        <v>5652.96</v>
      </c>
      <c r="K259" s="7">
        <v>5638.68</v>
      </c>
      <c r="L259" t="e">
        <f>IF($E259="Maquillaje",$G259,NA())</f>
        <v>#N/A</v>
      </c>
      <c r="M259" t="e">
        <f>IF($E259="Maquillaje",$H259,NA())</f>
        <v>#N/A</v>
      </c>
      <c r="N259" t="e">
        <f>IF($E259="Perfumería",$G259,NA())</f>
        <v>#N/A</v>
      </c>
      <c r="O259" t="e">
        <f>IF($E259="Perfumería",$H259,NA())</f>
        <v>#N/A</v>
      </c>
      <c r="P259" s="8">
        <f>IF($E259="Cuidado Facial",$G259,NA())</f>
        <v>1881.94</v>
      </c>
      <c r="Q259" s="8">
        <f>IF($E259="Cuidado Facial",$H259,NA())</f>
        <v>942.16</v>
      </c>
      <c r="R259" t="e">
        <f>IF($E259="Capilar",$G259,NA())</f>
        <v>#N/A</v>
      </c>
      <c r="S259" t="e">
        <f>IF($E259="Capilar",$H259,NA())</f>
        <v>#N/A</v>
      </c>
      <c r="T259" s="6" t="str">
        <f t="shared" si="4"/>
        <v>Octubre</v>
      </c>
    </row>
    <row r="260" spans="1:20" ht="15" customHeight="1" x14ac:dyDescent="0.25">
      <c r="A260" s="5">
        <v>46025</v>
      </c>
      <c r="B260" s="6" t="s">
        <v>34</v>
      </c>
      <c r="C260" s="6" t="s">
        <v>35</v>
      </c>
      <c r="D260" s="6" t="s">
        <v>39</v>
      </c>
      <c r="E260" s="6" t="s">
        <v>40</v>
      </c>
      <c r="F260" s="6">
        <v>2</v>
      </c>
      <c r="G260" s="7">
        <v>2259.21</v>
      </c>
      <c r="H260" s="7">
        <v>969.58</v>
      </c>
      <c r="I260" s="7">
        <v>4518.42</v>
      </c>
      <c r="J260" s="7">
        <v>1939.16</v>
      </c>
      <c r="K260" s="7">
        <v>2579.2600000000002</v>
      </c>
      <c r="L260" t="e">
        <f>IF($E260="Maquillaje",$G260,NA())</f>
        <v>#N/A</v>
      </c>
      <c r="M260" t="e">
        <f>IF($E260="Maquillaje",$H260,NA())</f>
        <v>#N/A</v>
      </c>
      <c r="N260" t="e">
        <f>IF($E260="Perfumería",$G260,NA())</f>
        <v>#N/A</v>
      </c>
      <c r="O260" t="e">
        <f>IF($E260="Perfumería",$H260,NA())</f>
        <v>#N/A</v>
      </c>
      <c r="P260" s="8">
        <f>IF($E260="Cuidado Facial",$G260,NA())</f>
        <v>2259.21</v>
      </c>
      <c r="Q260" s="8">
        <f>IF($E260="Cuidado Facial",$H260,NA())</f>
        <v>969.58</v>
      </c>
      <c r="R260" t="e">
        <f>IF($E260="Capilar",$G260,NA())</f>
        <v>#N/A</v>
      </c>
      <c r="S260" t="e">
        <f>IF($E260="Capilar",$H260,NA())</f>
        <v>#N/A</v>
      </c>
      <c r="T260" s="6" t="str">
        <f t="shared" si="4"/>
        <v>Enero</v>
      </c>
    </row>
    <row r="261" spans="1:20" ht="15" customHeight="1" x14ac:dyDescent="0.25">
      <c r="A261" s="5">
        <v>46262</v>
      </c>
      <c r="B261" s="6" t="s">
        <v>46</v>
      </c>
      <c r="C261" s="6" t="s">
        <v>31</v>
      </c>
      <c r="D261" s="6" t="s">
        <v>49</v>
      </c>
      <c r="E261" s="6" t="s">
        <v>40</v>
      </c>
      <c r="F261" s="6">
        <v>5</v>
      </c>
      <c r="G261" s="7">
        <v>1765.34</v>
      </c>
      <c r="H261" s="7">
        <v>846.62</v>
      </c>
      <c r="I261" s="7">
        <v>8826.7000000000007</v>
      </c>
      <c r="J261" s="7">
        <v>4233.1000000000004</v>
      </c>
      <c r="K261" s="7">
        <v>4593.6000000000004</v>
      </c>
      <c r="L261" t="e">
        <f>IF($E261="Maquillaje",$G261,NA())</f>
        <v>#N/A</v>
      </c>
      <c r="M261" t="e">
        <f>IF($E261="Maquillaje",$H261,NA())</f>
        <v>#N/A</v>
      </c>
      <c r="N261" t="e">
        <f>IF($E261="Perfumería",$G261,NA())</f>
        <v>#N/A</v>
      </c>
      <c r="O261" t="e">
        <f>IF($E261="Perfumería",$H261,NA())</f>
        <v>#N/A</v>
      </c>
      <c r="P261" s="8">
        <f>IF($E261="Cuidado Facial",$G261,NA())</f>
        <v>1765.34</v>
      </c>
      <c r="Q261" s="8">
        <f>IF($E261="Cuidado Facial",$H261,NA())</f>
        <v>846.62</v>
      </c>
      <c r="R261" t="e">
        <f>IF($E261="Capilar",$G261,NA())</f>
        <v>#N/A</v>
      </c>
      <c r="S261" t="e">
        <f>IF($E261="Capilar",$H261,NA())</f>
        <v>#N/A</v>
      </c>
      <c r="T261" s="6" t="str">
        <f t="shared" si="4"/>
        <v>Agosto</v>
      </c>
    </row>
    <row r="262" spans="1:20" ht="15" customHeight="1" x14ac:dyDescent="0.25">
      <c r="A262" s="5">
        <v>46279</v>
      </c>
      <c r="B262" s="6" t="s">
        <v>30</v>
      </c>
      <c r="C262" s="6" t="s">
        <v>48</v>
      </c>
      <c r="D262" s="6" t="s">
        <v>44</v>
      </c>
      <c r="E262" s="6" t="s">
        <v>37</v>
      </c>
      <c r="F262" s="6">
        <v>13</v>
      </c>
      <c r="G262" s="7">
        <v>1269.8499999999999</v>
      </c>
      <c r="H262" s="7">
        <v>659.15</v>
      </c>
      <c r="I262" s="7">
        <v>16508.05</v>
      </c>
      <c r="J262" s="7">
        <v>8568.9500000000007</v>
      </c>
      <c r="K262" s="7">
        <v>7939.1</v>
      </c>
      <c r="L262" s="8">
        <f>IF($E262="Maquillaje",$G262,NA())</f>
        <v>1269.8499999999999</v>
      </c>
      <c r="M262" s="8">
        <f>IF($E262="Maquillaje",$H262,NA())</f>
        <v>659.15</v>
      </c>
      <c r="N262" t="e">
        <f>IF($E262="Perfumería",$G262,NA())</f>
        <v>#N/A</v>
      </c>
      <c r="O262" t="e">
        <f>IF($E262="Perfumería",$H262,NA())</f>
        <v>#N/A</v>
      </c>
      <c r="P262" t="e">
        <f>IF($E262="Cuidado Facial",$G262,NA())</f>
        <v>#N/A</v>
      </c>
      <c r="Q262" t="e">
        <f>IF($E262="Cuidado Facial",$H262,NA())</f>
        <v>#N/A</v>
      </c>
      <c r="R262" t="e">
        <f>IF($E262="Capilar",$G262,NA())</f>
        <v>#N/A</v>
      </c>
      <c r="S262" t="e">
        <f>IF($E262="Capilar",$H262,NA())</f>
        <v>#N/A</v>
      </c>
      <c r="T262" s="6" t="str">
        <f t="shared" si="4"/>
        <v>Septiembre</v>
      </c>
    </row>
    <row r="263" spans="1:20" ht="15" customHeight="1" x14ac:dyDescent="0.25">
      <c r="A263" s="5">
        <v>46101</v>
      </c>
      <c r="B263" s="6" t="s">
        <v>30</v>
      </c>
      <c r="C263" s="6" t="s">
        <v>35</v>
      </c>
      <c r="D263" s="6" t="s">
        <v>36</v>
      </c>
      <c r="E263" s="6" t="s">
        <v>37</v>
      </c>
      <c r="F263" s="6">
        <v>10</v>
      </c>
      <c r="G263" s="7">
        <v>1563.25</v>
      </c>
      <c r="H263" s="7">
        <v>715.15</v>
      </c>
      <c r="I263" s="7">
        <v>15632.5</v>
      </c>
      <c r="J263" s="7">
        <v>7151.5</v>
      </c>
      <c r="K263" s="7">
        <v>8481</v>
      </c>
      <c r="L263" s="8">
        <f>IF($E263="Maquillaje",$G263,NA())</f>
        <v>1563.25</v>
      </c>
      <c r="M263" s="8">
        <f>IF($E263="Maquillaje",$H263,NA())</f>
        <v>715.15</v>
      </c>
      <c r="N263" t="e">
        <f>IF($E263="Perfumería",$G263,NA())</f>
        <v>#N/A</v>
      </c>
      <c r="O263" t="e">
        <f>IF($E263="Perfumería",$H263,NA())</f>
        <v>#N/A</v>
      </c>
      <c r="P263" t="e">
        <f>IF($E263="Cuidado Facial",$G263,NA())</f>
        <v>#N/A</v>
      </c>
      <c r="Q263" t="e">
        <f>IF($E263="Cuidado Facial",$H263,NA())</f>
        <v>#N/A</v>
      </c>
      <c r="R263" t="e">
        <f>IF($E263="Capilar",$G263,NA())</f>
        <v>#N/A</v>
      </c>
      <c r="S263" t="e">
        <f>IF($E263="Capilar",$H263,NA())</f>
        <v>#N/A</v>
      </c>
      <c r="T263" s="6" t="str">
        <f t="shared" si="4"/>
        <v>Marzo</v>
      </c>
    </row>
    <row r="264" spans="1:20" ht="15" customHeight="1" x14ac:dyDescent="0.25">
      <c r="A264" s="5">
        <v>46285</v>
      </c>
      <c r="B264" s="6" t="s">
        <v>30</v>
      </c>
      <c r="C264" s="6" t="s">
        <v>31</v>
      </c>
      <c r="D264" s="6" t="s">
        <v>36</v>
      </c>
      <c r="E264" s="6" t="s">
        <v>37</v>
      </c>
      <c r="F264" s="6">
        <v>6</v>
      </c>
      <c r="G264" s="7">
        <v>1590.06</v>
      </c>
      <c r="H264" s="7">
        <v>708.43</v>
      </c>
      <c r="I264" s="7">
        <v>9540.36</v>
      </c>
      <c r="J264" s="7">
        <v>4250.58</v>
      </c>
      <c r="K264" s="7">
        <v>5289.78</v>
      </c>
      <c r="L264" s="8">
        <f>IF($E264="Maquillaje",$G264,NA())</f>
        <v>1590.06</v>
      </c>
      <c r="M264" s="8">
        <f>IF($E264="Maquillaje",$H264,NA())</f>
        <v>708.43</v>
      </c>
      <c r="N264" t="e">
        <f>IF($E264="Perfumería",$G264,NA())</f>
        <v>#N/A</v>
      </c>
      <c r="O264" t="e">
        <f>IF($E264="Perfumería",$H264,NA())</f>
        <v>#N/A</v>
      </c>
      <c r="P264" t="e">
        <f>IF($E264="Cuidado Facial",$G264,NA())</f>
        <v>#N/A</v>
      </c>
      <c r="Q264" t="e">
        <f>IF($E264="Cuidado Facial",$H264,NA())</f>
        <v>#N/A</v>
      </c>
      <c r="R264" t="e">
        <f>IF($E264="Capilar",$G264,NA())</f>
        <v>#N/A</v>
      </c>
      <c r="S264" t="e">
        <f>IF($E264="Capilar",$H264,NA())</f>
        <v>#N/A</v>
      </c>
      <c r="T264" s="6" t="str">
        <f t="shared" si="4"/>
        <v>Septiembre</v>
      </c>
    </row>
    <row r="265" spans="1:20" ht="15" customHeight="1" x14ac:dyDescent="0.25">
      <c r="A265" s="5">
        <v>46198</v>
      </c>
      <c r="B265" s="6" t="s">
        <v>34</v>
      </c>
      <c r="C265" s="6" t="s">
        <v>35</v>
      </c>
      <c r="D265" s="6" t="s">
        <v>49</v>
      </c>
      <c r="E265" s="6" t="s">
        <v>40</v>
      </c>
      <c r="F265" s="6">
        <v>13</v>
      </c>
      <c r="G265" s="7">
        <v>1766.56</v>
      </c>
      <c r="H265" s="7">
        <v>825.85</v>
      </c>
      <c r="I265" s="7">
        <v>22965.279999999999</v>
      </c>
      <c r="J265" s="7">
        <v>10736.05</v>
      </c>
      <c r="K265" s="7">
        <v>12229.23</v>
      </c>
      <c r="L265" t="e">
        <f>IF($E265="Maquillaje",$G265,NA())</f>
        <v>#N/A</v>
      </c>
      <c r="M265" t="e">
        <f>IF($E265="Maquillaje",$H265,NA())</f>
        <v>#N/A</v>
      </c>
      <c r="N265" t="e">
        <f>IF($E265="Perfumería",$G265,NA())</f>
        <v>#N/A</v>
      </c>
      <c r="O265" t="e">
        <f>IF($E265="Perfumería",$H265,NA())</f>
        <v>#N/A</v>
      </c>
      <c r="P265" s="8">
        <f>IF($E265="Cuidado Facial",$G265,NA())</f>
        <v>1766.56</v>
      </c>
      <c r="Q265" s="8">
        <f>IF($E265="Cuidado Facial",$H265,NA())</f>
        <v>825.85</v>
      </c>
      <c r="R265" t="e">
        <f>IF($E265="Capilar",$G265,NA())</f>
        <v>#N/A</v>
      </c>
      <c r="S265" t="e">
        <f>IF($E265="Capilar",$H265,NA())</f>
        <v>#N/A</v>
      </c>
      <c r="T265" s="6" t="str">
        <f t="shared" si="4"/>
        <v>Junio</v>
      </c>
    </row>
    <row r="266" spans="1:20" ht="15" customHeight="1" x14ac:dyDescent="0.25">
      <c r="A266" s="5">
        <v>46292</v>
      </c>
      <c r="B266" s="6" t="s">
        <v>30</v>
      </c>
      <c r="C266" s="6" t="s">
        <v>31</v>
      </c>
      <c r="D266" s="6" t="s">
        <v>32</v>
      </c>
      <c r="E266" s="6" t="s">
        <v>33</v>
      </c>
      <c r="F266" s="6">
        <v>1</v>
      </c>
      <c r="G266" s="7">
        <v>3635.09</v>
      </c>
      <c r="H266" s="7">
        <v>1850.32</v>
      </c>
      <c r="I266" s="7">
        <v>3635.09</v>
      </c>
      <c r="J266" s="7">
        <v>1850.32</v>
      </c>
      <c r="K266" s="7">
        <v>1784.77</v>
      </c>
      <c r="L266" t="e">
        <f>IF($E266="Maquillaje",$G266,NA())</f>
        <v>#N/A</v>
      </c>
      <c r="M266" t="e">
        <f>IF($E266="Maquillaje",$H266,NA())</f>
        <v>#N/A</v>
      </c>
      <c r="N266" s="8">
        <f>IF($E266="Perfumería",$G266,NA())</f>
        <v>3635.09</v>
      </c>
      <c r="O266" s="8">
        <f>IF($E266="Perfumería",$H266,NA())</f>
        <v>1850.32</v>
      </c>
      <c r="P266" t="e">
        <f>IF($E266="Cuidado Facial",$G266,NA())</f>
        <v>#N/A</v>
      </c>
      <c r="Q266" t="e">
        <f>IF($E266="Cuidado Facial",$H266,NA())</f>
        <v>#N/A</v>
      </c>
      <c r="R266" t="e">
        <f>IF($E266="Capilar",$G266,NA())</f>
        <v>#N/A</v>
      </c>
      <c r="S266" t="e">
        <f>IF($E266="Capilar",$H266,NA())</f>
        <v>#N/A</v>
      </c>
      <c r="T266" s="6" t="str">
        <f t="shared" si="4"/>
        <v>Septiembre</v>
      </c>
    </row>
    <row r="267" spans="1:20" ht="15" customHeight="1" x14ac:dyDescent="0.25">
      <c r="A267" s="5">
        <v>46106</v>
      </c>
      <c r="B267" s="6" t="s">
        <v>34</v>
      </c>
      <c r="C267" s="6" t="s">
        <v>35</v>
      </c>
      <c r="D267" s="6" t="s">
        <v>39</v>
      </c>
      <c r="E267" s="6" t="s">
        <v>40</v>
      </c>
      <c r="F267" s="6">
        <v>15</v>
      </c>
      <c r="G267" s="7">
        <v>2017.25</v>
      </c>
      <c r="H267" s="7">
        <v>956.08</v>
      </c>
      <c r="I267" s="7">
        <v>30258.75</v>
      </c>
      <c r="J267" s="7">
        <v>14341.2</v>
      </c>
      <c r="K267" s="7">
        <v>15917.55</v>
      </c>
      <c r="L267" t="e">
        <f>IF($E267="Maquillaje",$G267,NA())</f>
        <v>#N/A</v>
      </c>
      <c r="M267" t="e">
        <f>IF($E267="Maquillaje",$H267,NA())</f>
        <v>#N/A</v>
      </c>
      <c r="N267" t="e">
        <f>IF($E267="Perfumería",$G267,NA())</f>
        <v>#N/A</v>
      </c>
      <c r="O267" t="e">
        <f>IF($E267="Perfumería",$H267,NA())</f>
        <v>#N/A</v>
      </c>
      <c r="P267" s="8">
        <f>IF($E267="Cuidado Facial",$G267,NA())</f>
        <v>2017.25</v>
      </c>
      <c r="Q267" s="8">
        <f>IF($E267="Cuidado Facial",$H267,NA())</f>
        <v>956.08</v>
      </c>
      <c r="R267" t="e">
        <f>IF($E267="Capilar",$G267,NA())</f>
        <v>#N/A</v>
      </c>
      <c r="S267" t="e">
        <f>IF($E267="Capilar",$H267,NA())</f>
        <v>#N/A</v>
      </c>
      <c r="T267" s="6" t="str">
        <f t="shared" si="4"/>
        <v>Marzo</v>
      </c>
    </row>
    <row r="268" spans="1:20" ht="15" customHeight="1" x14ac:dyDescent="0.25">
      <c r="A268" s="5">
        <v>46107</v>
      </c>
      <c r="B268" s="6" t="s">
        <v>38</v>
      </c>
      <c r="C268" s="6" t="s">
        <v>31</v>
      </c>
      <c r="D268" s="6" t="s">
        <v>36</v>
      </c>
      <c r="E268" s="6" t="s">
        <v>37</v>
      </c>
      <c r="F268" s="6">
        <v>13</v>
      </c>
      <c r="G268" s="7">
        <v>1548.13</v>
      </c>
      <c r="H268" s="7">
        <v>738.21</v>
      </c>
      <c r="I268" s="7">
        <v>20125.689999999999</v>
      </c>
      <c r="J268" s="7">
        <v>9596.73</v>
      </c>
      <c r="K268" s="7">
        <v>10528.96</v>
      </c>
      <c r="L268" s="8">
        <f>IF($E268="Maquillaje",$G268,NA())</f>
        <v>1548.13</v>
      </c>
      <c r="M268" s="8">
        <f>IF($E268="Maquillaje",$H268,NA())</f>
        <v>738.21</v>
      </c>
      <c r="N268" t="e">
        <f>IF($E268="Perfumería",$G268,NA())</f>
        <v>#N/A</v>
      </c>
      <c r="O268" t="e">
        <f>IF($E268="Perfumería",$H268,NA())</f>
        <v>#N/A</v>
      </c>
      <c r="P268" t="e">
        <f>IF($E268="Cuidado Facial",$G268,NA())</f>
        <v>#N/A</v>
      </c>
      <c r="Q268" t="e">
        <f>IF($E268="Cuidado Facial",$H268,NA())</f>
        <v>#N/A</v>
      </c>
      <c r="R268" t="e">
        <f>IF($E268="Capilar",$G268,NA())</f>
        <v>#N/A</v>
      </c>
      <c r="S268" t="e">
        <f>IF($E268="Capilar",$H268,NA())</f>
        <v>#N/A</v>
      </c>
      <c r="T268" s="6" t="str">
        <f t="shared" si="4"/>
        <v>Marzo</v>
      </c>
    </row>
    <row r="269" spans="1:20" ht="15" customHeight="1" x14ac:dyDescent="0.25">
      <c r="A269" s="5">
        <v>46275</v>
      </c>
      <c r="B269" s="6" t="s">
        <v>46</v>
      </c>
      <c r="C269" s="6" t="s">
        <v>31</v>
      </c>
      <c r="D269" s="6" t="s">
        <v>42</v>
      </c>
      <c r="E269" s="6" t="s">
        <v>43</v>
      </c>
      <c r="F269" s="6">
        <v>11</v>
      </c>
      <c r="G269" s="7">
        <v>1002.04</v>
      </c>
      <c r="H269" s="7">
        <v>464.89</v>
      </c>
      <c r="I269" s="7">
        <v>11022.44</v>
      </c>
      <c r="J269" s="7">
        <v>5113.79</v>
      </c>
      <c r="K269" s="7">
        <v>5908.65</v>
      </c>
      <c r="L269" t="e">
        <f>IF($E269="Maquillaje",$G269,NA())</f>
        <v>#N/A</v>
      </c>
      <c r="M269" t="e">
        <f>IF($E269="Maquillaje",$H269,NA())</f>
        <v>#N/A</v>
      </c>
      <c r="N269" t="e">
        <f>IF($E269="Perfumería",$G269,NA())</f>
        <v>#N/A</v>
      </c>
      <c r="O269" t="e">
        <f>IF($E269="Perfumería",$H269,NA())</f>
        <v>#N/A</v>
      </c>
      <c r="P269" t="e">
        <f>IF($E269="Cuidado Facial",$G269,NA())</f>
        <v>#N/A</v>
      </c>
      <c r="Q269" t="e">
        <f>IF($E269="Cuidado Facial",$H269,NA())</f>
        <v>#N/A</v>
      </c>
      <c r="R269" s="8">
        <f>IF($E269="Capilar",$G269,NA())</f>
        <v>1002.04</v>
      </c>
      <c r="S269" s="8">
        <f>IF($E269="Capilar",$H269,NA())</f>
        <v>464.89</v>
      </c>
      <c r="T269" s="6" t="str">
        <f t="shared" si="4"/>
        <v>Septiembre</v>
      </c>
    </row>
    <row r="270" spans="1:20" ht="15" customHeight="1" x14ac:dyDescent="0.25">
      <c r="A270" s="5">
        <v>46367</v>
      </c>
      <c r="B270" s="6" t="s">
        <v>41</v>
      </c>
      <c r="C270" s="6" t="s">
        <v>35</v>
      </c>
      <c r="D270" s="6" t="s">
        <v>44</v>
      </c>
      <c r="E270" s="6" t="s">
        <v>37</v>
      </c>
      <c r="F270" s="6">
        <v>8</v>
      </c>
      <c r="G270" s="7">
        <v>1224.92</v>
      </c>
      <c r="H270" s="7">
        <v>708.63</v>
      </c>
      <c r="I270" s="7">
        <v>9799.36</v>
      </c>
      <c r="J270" s="7">
        <v>5669.04</v>
      </c>
      <c r="K270" s="7">
        <v>4130.32</v>
      </c>
      <c r="L270" s="8">
        <f>IF($E270="Maquillaje",$G270,NA())</f>
        <v>1224.92</v>
      </c>
      <c r="M270" s="8">
        <f>IF($E270="Maquillaje",$H270,NA())</f>
        <v>708.63</v>
      </c>
      <c r="N270" t="e">
        <f>IF($E270="Perfumería",$G270,NA())</f>
        <v>#N/A</v>
      </c>
      <c r="O270" t="e">
        <f>IF($E270="Perfumería",$H270,NA())</f>
        <v>#N/A</v>
      </c>
      <c r="P270" t="e">
        <f>IF($E270="Cuidado Facial",$G270,NA())</f>
        <v>#N/A</v>
      </c>
      <c r="Q270" t="e">
        <f>IF($E270="Cuidado Facial",$H270,NA())</f>
        <v>#N/A</v>
      </c>
      <c r="R270" t="e">
        <f>IF($E270="Capilar",$G270,NA())</f>
        <v>#N/A</v>
      </c>
      <c r="S270" t="e">
        <f>IF($E270="Capilar",$H270,NA())</f>
        <v>#N/A</v>
      </c>
      <c r="T270" s="6" t="str">
        <f t="shared" si="4"/>
        <v>Diciembre</v>
      </c>
    </row>
    <row r="271" spans="1:20" ht="15" customHeight="1" x14ac:dyDescent="0.25">
      <c r="A271" s="5">
        <v>46176</v>
      </c>
      <c r="B271" s="6" t="s">
        <v>34</v>
      </c>
      <c r="C271" s="6" t="s">
        <v>35</v>
      </c>
      <c r="D271" s="6" t="s">
        <v>49</v>
      </c>
      <c r="E271" s="6" t="s">
        <v>40</v>
      </c>
      <c r="F271" s="6">
        <v>14</v>
      </c>
      <c r="G271" s="7">
        <v>1787.74</v>
      </c>
      <c r="H271" s="7">
        <v>815.86</v>
      </c>
      <c r="I271" s="7">
        <v>25028.36</v>
      </c>
      <c r="J271" s="7">
        <v>11422.04</v>
      </c>
      <c r="K271" s="7">
        <v>13606.32</v>
      </c>
      <c r="L271" t="e">
        <f>IF($E271="Maquillaje",$G271,NA())</f>
        <v>#N/A</v>
      </c>
      <c r="M271" t="e">
        <f>IF($E271="Maquillaje",$H271,NA())</f>
        <v>#N/A</v>
      </c>
      <c r="N271" t="e">
        <f>IF($E271="Perfumería",$G271,NA())</f>
        <v>#N/A</v>
      </c>
      <c r="O271" t="e">
        <f>IF($E271="Perfumería",$H271,NA())</f>
        <v>#N/A</v>
      </c>
      <c r="P271" s="8">
        <f>IF($E271="Cuidado Facial",$G271,NA())</f>
        <v>1787.74</v>
      </c>
      <c r="Q271" s="8">
        <f>IF($E271="Cuidado Facial",$H271,NA())</f>
        <v>815.86</v>
      </c>
      <c r="R271" t="e">
        <f>IF($E271="Capilar",$G271,NA())</f>
        <v>#N/A</v>
      </c>
      <c r="S271" t="e">
        <f>IF($E271="Capilar",$H271,NA())</f>
        <v>#N/A</v>
      </c>
      <c r="T271" s="6" t="str">
        <f t="shared" si="4"/>
        <v>Junio</v>
      </c>
    </row>
    <row r="272" spans="1:20" ht="15" customHeight="1" x14ac:dyDescent="0.25">
      <c r="A272" s="5">
        <v>46249</v>
      </c>
      <c r="B272" s="6" t="s">
        <v>38</v>
      </c>
      <c r="C272" s="6" t="s">
        <v>31</v>
      </c>
      <c r="D272" s="6" t="s">
        <v>32</v>
      </c>
      <c r="E272" s="6" t="s">
        <v>33</v>
      </c>
      <c r="F272" s="6">
        <v>11</v>
      </c>
      <c r="G272" s="7">
        <v>3088.23</v>
      </c>
      <c r="H272" s="7">
        <v>1863.03</v>
      </c>
      <c r="I272" s="7">
        <v>33970.53</v>
      </c>
      <c r="J272" s="7">
        <v>20493.330000000002</v>
      </c>
      <c r="K272" s="7">
        <v>13477.2</v>
      </c>
      <c r="L272" t="e">
        <f>IF($E272="Maquillaje",$G272,NA())</f>
        <v>#N/A</v>
      </c>
      <c r="M272" t="e">
        <f>IF($E272="Maquillaje",$H272,NA())</f>
        <v>#N/A</v>
      </c>
      <c r="N272" s="8">
        <f>IF($E272="Perfumería",$G272,NA())</f>
        <v>3088.23</v>
      </c>
      <c r="O272" s="8">
        <f>IF($E272="Perfumería",$H272,NA())</f>
        <v>1863.03</v>
      </c>
      <c r="P272" t="e">
        <f>IF($E272="Cuidado Facial",$G272,NA())</f>
        <v>#N/A</v>
      </c>
      <c r="Q272" t="e">
        <f>IF($E272="Cuidado Facial",$H272,NA())</f>
        <v>#N/A</v>
      </c>
      <c r="R272" t="e">
        <f>IF($E272="Capilar",$G272,NA())</f>
        <v>#N/A</v>
      </c>
      <c r="S272" t="e">
        <f>IF($E272="Capilar",$H272,NA())</f>
        <v>#N/A</v>
      </c>
      <c r="T272" s="6" t="str">
        <f t="shared" si="4"/>
        <v>Agosto</v>
      </c>
    </row>
    <row r="273" spans="1:20" ht="15" customHeight="1" x14ac:dyDescent="0.25">
      <c r="A273" s="5">
        <v>46208</v>
      </c>
      <c r="B273" s="6" t="s">
        <v>41</v>
      </c>
      <c r="C273" s="6" t="s">
        <v>35</v>
      </c>
      <c r="D273" s="6" t="s">
        <v>45</v>
      </c>
      <c r="E273" s="6" t="s">
        <v>43</v>
      </c>
      <c r="F273" s="6">
        <v>15</v>
      </c>
      <c r="G273" s="7">
        <v>1101.49</v>
      </c>
      <c r="H273" s="7">
        <v>614.72</v>
      </c>
      <c r="I273" s="7">
        <v>16522.349999999999</v>
      </c>
      <c r="J273" s="7">
        <v>9220.7999999999993</v>
      </c>
      <c r="K273" s="7">
        <v>7301.55</v>
      </c>
      <c r="L273" t="e">
        <f>IF($E273="Maquillaje",$G273,NA())</f>
        <v>#N/A</v>
      </c>
      <c r="M273" t="e">
        <f>IF($E273="Maquillaje",$H273,NA())</f>
        <v>#N/A</v>
      </c>
      <c r="N273" t="e">
        <f>IF($E273="Perfumería",$G273,NA())</f>
        <v>#N/A</v>
      </c>
      <c r="O273" t="e">
        <f>IF($E273="Perfumería",$H273,NA())</f>
        <v>#N/A</v>
      </c>
      <c r="P273" t="e">
        <f>IF($E273="Cuidado Facial",$G273,NA())</f>
        <v>#N/A</v>
      </c>
      <c r="Q273" t="e">
        <f>IF($E273="Cuidado Facial",$H273,NA())</f>
        <v>#N/A</v>
      </c>
      <c r="R273" s="8">
        <f>IF($E273="Capilar",$G273,NA())</f>
        <v>1101.49</v>
      </c>
      <c r="S273" s="8">
        <f>IF($E273="Capilar",$H273,NA())</f>
        <v>614.72</v>
      </c>
      <c r="T273" s="6" t="str">
        <f t="shared" si="4"/>
        <v>Julio</v>
      </c>
    </row>
    <row r="274" spans="1:20" ht="15" customHeight="1" x14ac:dyDescent="0.25">
      <c r="A274" s="5">
        <v>46292</v>
      </c>
      <c r="B274" s="6" t="s">
        <v>30</v>
      </c>
      <c r="C274" s="6" t="s">
        <v>48</v>
      </c>
      <c r="D274" s="6" t="s">
        <v>45</v>
      </c>
      <c r="E274" s="6" t="s">
        <v>43</v>
      </c>
      <c r="F274" s="6">
        <v>13</v>
      </c>
      <c r="G274" s="7">
        <v>1134.57</v>
      </c>
      <c r="H274" s="7">
        <v>586.5</v>
      </c>
      <c r="I274" s="7">
        <v>14749.41</v>
      </c>
      <c r="J274" s="7">
        <v>7624.5</v>
      </c>
      <c r="K274" s="7">
        <v>7124.91</v>
      </c>
      <c r="L274" t="e">
        <f>IF($E274="Maquillaje",$G274,NA())</f>
        <v>#N/A</v>
      </c>
      <c r="M274" t="e">
        <f>IF($E274="Maquillaje",$H274,NA())</f>
        <v>#N/A</v>
      </c>
      <c r="N274" t="e">
        <f>IF($E274="Perfumería",$G274,NA())</f>
        <v>#N/A</v>
      </c>
      <c r="O274" t="e">
        <f>IF($E274="Perfumería",$H274,NA())</f>
        <v>#N/A</v>
      </c>
      <c r="P274" t="e">
        <f>IF($E274="Cuidado Facial",$G274,NA())</f>
        <v>#N/A</v>
      </c>
      <c r="Q274" t="e">
        <f>IF($E274="Cuidado Facial",$H274,NA())</f>
        <v>#N/A</v>
      </c>
      <c r="R274" s="8">
        <f>IF($E274="Capilar",$G274,NA())</f>
        <v>1134.57</v>
      </c>
      <c r="S274" s="8">
        <f>IF($E274="Capilar",$H274,NA())</f>
        <v>586.5</v>
      </c>
      <c r="T274" s="6" t="str">
        <f t="shared" si="4"/>
        <v>Septiembre</v>
      </c>
    </row>
    <row r="275" spans="1:20" ht="15" customHeight="1" x14ac:dyDescent="0.25">
      <c r="A275" s="5">
        <v>46286</v>
      </c>
      <c r="B275" s="6" t="s">
        <v>30</v>
      </c>
      <c r="C275" s="6" t="s">
        <v>31</v>
      </c>
      <c r="D275" s="6" t="s">
        <v>42</v>
      </c>
      <c r="E275" s="6" t="s">
        <v>43</v>
      </c>
      <c r="F275" s="6">
        <v>9</v>
      </c>
      <c r="G275" s="7">
        <v>973.56</v>
      </c>
      <c r="H275" s="7">
        <v>474.63</v>
      </c>
      <c r="I275" s="7">
        <v>8762.0400000000009</v>
      </c>
      <c r="J275" s="7">
        <v>4271.67</v>
      </c>
      <c r="K275" s="7">
        <v>4490.37</v>
      </c>
      <c r="L275" t="e">
        <f>IF($E275="Maquillaje",$G275,NA())</f>
        <v>#N/A</v>
      </c>
      <c r="M275" t="e">
        <f>IF($E275="Maquillaje",$H275,NA())</f>
        <v>#N/A</v>
      </c>
      <c r="N275" t="e">
        <f>IF($E275="Perfumería",$G275,NA())</f>
        <v>#N/A</v>
      </c>
      <c r="O275" t="e">
        <f>IF($E275="Perfumería",$H275,NA())</f>
        <v>#N/A</v>
      </c>
      <c r="P275" t="e">
        <f>IF($E275="Cuidado Facial",$G275,NA())</f>
        <v>#N/A</v>
      </c>
      <c r="Q275" t="e">
        <f>IF($E275="Cuidado Facial",$H275,NA())</f>
        <v>#N/A</v>
      </c>
      <c r="R275" s="8">
        <f>IF($E275="Capilar",$G275,NA())</f>
        <v>973.56</v>
      </c>
      <c r="S275" s="8">
        <f>IF($E275="Capilar",$H275,NA())</f>
        <v>474.63</v>
      </c>
      <c r="T275" s="6" t="str">
        <f t="shared" si="4"/>
        <v>Septiembre</v>
      </c>
    </row>
    <row r="276" spans="1:20" ht="15" customHeight="1" x14ac:dyDescent="0.25">
      <c r="A276" s="5">
        <v>46346</v>
      </c>
      <c r="B276" s="6" t="s">
        <v>46</v>
      </c>
      <c r="C276" s="6" t="s">
        <v>31</v>
      </c>
      <c r="D276" s="6" t="s">
        <v>45</v>
      </c>
      <c r="E276" s="6" t="s">
        <v>43</v>
      </c>
      <c r="F276" s="6">
        <v>12</v>
      </c>
      <c r="G276" s="7">
        <v>1204.76</v>
      </c>
      <c r="H276" s="7">
        <v>510.38</v>
      </c>
      <c r="I276" s="7">
        <v>14457.12</v>
      </c>
      <c r="J276" s="7">
        <v>6124.56</v>
      </c>
      <c r="K276" s="7">
        <v>8332.56</v>
      </c>
      <c r="L276" t="e">
        <f>IF($E276="Maquillaje",$G276,NA())</f>
        <v>#N/A</v>
      </c>
      <c r="M276" t="e">
        <f>IF($E276="Maquillaje",$H276,NA())</f>
        <v>#N/A</v>
      </c>
      <c r="N276" t="e">
        <f>IF($E276="Perfumería",$G276,NA())</f>
        <v>#N/A</v>
      </c>
      <c r="O276" t="e">
        <f>IF($E276="Perfumería",$H276,NA())</f>
        <v>#N/A</v>
      </c>
      <c r="P276" t="e">
        <f>IF($E276="Cuidado Facial",$G276,NA())</f>
        <v>#N/A</v>
      </c>
      <c r="Q276" t="e">
        <f>IF($E276="Cuidado Facial",$H276,NA())</f>
        <v>#N/A</v>
      </c>
      <c r="R276" s="8">
        <f>IF($E276="Capilar",$G276,NA())</f>
        <v>1204.76</v>
      </c>
      <c r="S276" s="8">
        <f>IF($E276="Capilar",$H276,NA())</f>
        <v>510.38</v>
      </c>
      <c r="T276" s="6" t="str">
        <f t="shared" si="4"/>
        <v>Noviembre</v>
      </c>
    </row>
    <row r="277" spans="1:20" ht="15" customHeight="1" x14ac:dyDescent="0.25">
      <c r="A277" s="5">
        <v>46252</v>
      </c>
      <c r="B277" s="6" t="s">
        <v>46</v>
      </c>
      <c r="C277" s="6" t="s">
        <v>31</v>
      </c>
      <c r="D277" s="6" t="s">
        <v>44</v>
      </c>
      <c r="E277" s="6" t="s">
        <v>37</v>
      </c>
      <c r="F277" s="6">
        <v>8</v>
      </c>
      <c r="G277" s="7">
        <v>1112.8800000000001</v>
      </c>
      <c r="H277" s="7">
        <v>708.89</v>
      </c>
      <c r="I277" s="7">
        <v>8903.0400000000009</v>
      </c>
      <c r="J277" s="7">
        <v>5671.12</v>
      </c>
      <c r="K277" s="7">
        <v>3231.92</v>
      </c>
      <c r="L277" s="8">
        <f>IF($E277="Maquillaje",$G277,NA())</f>
        <v>1112.8800000000001</v>
      </c>
      <c r="M277" s="8">
        <f>IF($E277="Maquillaje",$H277,NA())</f>
        <v>708.89</v>
      </c>
      <c r="N277" t="e">
        <f>IF($E277="Perfumería",$G277,NA())</f>
        <v>#N/A</v>
      </c>
      <c r="O277" t="e">
        <f>IF($E277="Perfumería",$H277,NA())</f>
        <v>#N/A</v>
      </c>
      <c r="P277" t="e">
        <f>IF($E277="Cuidado Facial",$G277,NA())</f>
        <v>#N/A</v>
      </c>
      <c r="Q277" t="e">
        <f>IF($E277="Cuidado Facial",$H277,NA())</f>
        <v>#N/A</v>
      </c>
      <c r="R277" t="e">
        <f>IF($E277="Capilar",$G277,NA())</f>
        <v>#N/A</v>
      </c>
      <c r="S277" t="e">
        <f>IF($E277="Capilar",$H277,NA())</f>
        <v>#N/A</v>
      </c>
      <c r="T277" s="6" t="str">
        <f t="shared" si="4"/>
        <v>Agosto</v>
      </c>
    </row>
    <row r="278" spans="1:20" ht="15" customHeight="1" x14ac:dyDescent="0.25">
      <c r="A278" s="5">
        <v>46318</v>
      </c>
      <c r="B278" s="6" t="s">
        <v>41</v>
      </c>
      <c r="C278" s="6" t="s">
        <v>35</v>
      </c>
      <c r="D278" s="6" t="s">
        <v>32</v>
      </c>
      <c r="E278" s="6" t="s">
        <v>33</v>
      </c>
      <c r="F278" s="6">
        <v>13</v>
      </c>
      <c r="G278" s="7">
        <v>3430.12</v>
      </c>
      <c r="H278" s="7">
        <v>1722.25</v>
      </c>
      <c r="I278" s="7">
        <v>44591.56</v>
      </c>
      <c r="J278" s="7">
        <v>22389.25</v>
      </c>
      <c r="K278" s="7">
        <v>22202.31</v>
      </c>
      <c r="L278" t="e">
        <f>IF($E278="Maquillaje",$G278,NA())</f>
        <v>#N/A</v>
      </c>
      <c r="M278" t="e">
        <f>IF($E278="Maquillaje",$H278,NA())</f>
        <v>#N/A</v>
      </c>
      <c r="N278">
        <f>IF($E278="Perfumería",$G278,NA())</f>
        <v>3430.12</v>
      </c>
      <c r="O278">
        <f>IF($E278="Perfumería",$H278,NA())</f>
        <v>1722.25</v>
      </c>
      <c r="P278" t="e">
        <f>IF($E278="Cuidado Facial",$G278,NA())</f>
        <v>#N/A</v>
      </c>
      <c r="Q278" t="e">
        <f>IF($E278="Cuidado Facial",$H278,NA())</f>
        <v>#N/A</v>
      </c>
      <c r="R278" t="e">
        <f>IF($E278="Capilar",$G278,NA())</f>
        <v>#N/A</v>
      </c>
      <c r="S278" t="e">
        <f>IF($E278="Capilar",$H278,NA())</f>
        <v>#N/A</v>
      </c>
      <c r="T278" s="6" t="str">
        <f t="shared" si="4"/>
        <v>Octubre</v>
      </c>
    </row>
    <row r="279" spans="1:20" ht="15" customHeight="1" x14ac:dyDescent="0.25">
      <c r="A279" s="5">
        <v>46369</v>
      </c>
      <c r="B279" s="6" t="s">
        <v>41</v>
      </c>
      <c r="C279" s="6" t="s">
        <v>35</v>
      </c>
      <c r="D279" s="6" t="s">
        <v>49</v>
      </c>
      <c r="E279" s="6" t="s">
        <v>40</v>
      </c>
      <c r="F279" s="6">
        <v>14</v>
      </c>
      <c r="G279" s="7">
        <v>1827.06</v>
      </c>
      <c r="H279" s="7">
        <v>958.66</v>
      </c>
      <c r="I279" s="7">
        <v>25578.84</v>
      </c>
      <c r="J279" s="7">
        <v>13421.24</v>
      </c>
      <c r="K279" s="7">
        <v>12157.6</v>
      </c>
      <c r="L279" t="e">
        <f>IF($E279="Maquillaje",$G279,NA())</f>
        <v>#N/A</v>
      </c>
      <c r="M279" t="e">
        <f>IF($E279="Maquillaje",$H279,NA())</f>
        <v>#N/A</v>
      </c>
      <c r="N279" t="e">
        <f>IF($E279="Perfumería",$G279,NA())</f>
        <v>#N/A</v>
      </c>
      <c r="O279" t="e">
        <f>IF($E279="Perfumería",$H279,NA())</f>
        <v>#N/A</v>
      </c>
      <c r="P279" s="8">
        <f>IF($E279="Cuidado Facial",$G279,NA())</f>
        <v>1827.06</v>
      </c>
      <c r="Q279" s="8">
        <f>IF($E279="Cuidado Facial",$H279,NA())</f>
        <v>958.66</v>
      </c>
      <c r="R279" t="e">
        <f>IF($E279="Capilar",$G279,NA())</f>
        <v>#N/A</v>
      </c>
      <c r="S279" t="e">
        <f>IF($E279="Capilar",$H279,NA())</f>
        <v>#N/A</v>
      </c>
      <c r="T279" s="6" t="str">
        <f t="shared" si="4"/>
        <v>Diciembre</v>
      </c>
    </row>
    <row r="280" spans="1:20" ht="15" customHeight="1" x14ac:dyDescent="0.25">
      <c r="A280" s="5">
        <v>46287</v>
      </c>
      <c r="B280" s="6" t="s">
        <v>30</v>
      </c>
      <c r="C280" s="6" t="s">
        <v>48</v>
      </c>
      <c r="D280" s="6" t="s">
        <v>47</v>
      </c>
      <c r="E280" s="6" t="s">
        <v>33</v>
      </c>
      <c r="F280" s="6">
        <v>5</v>
      </c>
      <c r="G280" s="7">
        <v>3460.86</v>
      </c>
      <c r="H280" s="7">
        <v>1627.93</v>
      </c>
      <c r="I280" s="7">
        <v>17304.3</v>
      </c>
      <c r="J280" s="7">
        <v>8139.65</v>
      </c>
      <c r="K280" s="7">
        <v>9164.65</v>
      </c>
      <c r="L280" t="e">
        <f>IF($E280="Maquillaje",$G280,NA())</f>
        <v>#N/A</v>
      </c>
      <c r="M280" t="e">
        <f>IF($E280="Maquillaje",$H280,NA())</f>
        <v>#N/A</v>
      </c>
      <c r="N280" s="8">
        <f>IF($E280="Perfumería",$G280,NA())</f>
        <v>3460.86</v>
      </c>
      <c r="O280" s="8">
        <f>IF($E280="Perfumería",$H280,NA())</f>
        <v>1627.93</v>
      </c>
      <c r="P280" t="e">
        <f>IF($E280="Cuidado Facial",$G280,NA())</f>
        <v>#N/A</v>
      </c>
      <c r="Q280" t="e">
        <f>IF($E280="Cuidado Facial",$H280,NA())</f>
        <v>#N/A</v>
      </c>
      <c r="R280" t="e">
        <f>IF($E280="Capilar",$G280,NA())</f>
        <v>#N/A</v>
      </c>
      <c r="S280" t="e">
        <f>IF($E280="Capilar",$H280,NA())</f>
        <v>#N/A</v>
      </c>
      <c r="T280" s="6" t="str">
        <f t="shared" si="4"/>
        <v>Septiembre</v>
      </c>
    </row>
    <row r="281" spans="1:20" ht="15" customHeight="1" x14ac:dyDescent="0.25">
      <c r="A281" s="5">
        <v>46378</v>
      </c>
      <c r="B281" s="6" t="s">
        <v>34</v>
      </c>
      <c r="C281" s="6" t="s">
        <v>35</v>
      </c>
      <c r="D281" s="6" t="s">
        <v>49</v>
      </c>
      <c r="E281" s="6" t="s">
        <v>40</v>
      </c>
      <c r="F281" s="6">
        <v>7</v>
      </c>
      <c r="G281" s="7">
        <v>1659.03</v>
      </c>
      <c r="H281" s="7">
        <v>856.84</v>
      </c>
      <c r="I281" s="7">
        <v>11613.21</v>
      </c>
      <c r="J281" s="7">
        <v>5997.88</v>
      </c>
      <c r="K281" s="7">
        <v>5615.33</v>
      </c>
      <c r="L281" t="e">
        <f>IF($E281="Maquillaje",$G281,NA())</f>
        <v>#N/A</v>
      </c>
      <c r="M281" t="e">
        <f>IF($E281="Maquillaje",$H281,NA())</f>
        <v>#N/A</v>
      </c>
      <c r="N281" t="e">
        <f>IF($E281="Perfumería",$G281,NA())</f>
        <v>#N/A</v>
      </c>
      <c r="O281" t="e">
        <f>IF($E281="Perfumería",$H281,NA())</f>
        <v>#N/A</v>
      </c>
      <c r="P281" s="8">
        <f>IF($E281="Cuidado Facial",$G281,NA())</f>
        <v>1659.03</v>
      </c>
      <c r="Q281" s="8">
        <f>IF($E281="Cuidado Facial",$H281,NA())</f>
        <v>856.84</v>
      </c>
      <c r="R281" t="e">
        <f>IF($E281="Capilar",$G281,NA())</f>
        <v>#N/A</v>
      </c>
      <c r="S281" t="e">
        <f>IF($E281="Capilar",$H281,NA())</f>
        <v>#N/A</v>
      </c>
      <c r="T281" s="6" t="str">
        <f t="shared" si="4"/>
        <v>Diciembre</v>
      </c>
    </row>
    <row r="282" spans="1:20" ht="15" customHeight="1" x14ac:dyDescent="0.25">
      <c r="A282" s="5">
        <v>46159</v>
      </c>
      <c r="B282" s="6" t="s">
        <v>46</v>
      </c>
      <c r="C282" s="6" t="s">
        <v>31</v>
      </c>
      <c r="D282" s="6" t="s">
        <v>47</v>
      </c>
      <c r="E282" s="6" t="s">
        <v>33</v>
      </c>
      <c r="F282" s="6">
        <v>1</v>
      </c>
      <c r="G282" s="7">
        <v>2977.32</v>
      </c>
      <c r="H282" s="7">
        <v>1682.26</v>
      </c>
      <c r="I282" s="7">
        <v>2977.32</v>
      </c>
      <c r="J282" s="7">
        <v>1682.26</v>
      </c>
      <c r="K282" s="7">
        <v>1295.06</v>
      </c>
      <c r="L282" t="e">
        <f>IF($E282="Maquillaje",$G282,NA())</f>
        <v>#N/A</v>
      </c>
      <c r="M282" t="e">
        <f>IF($E282="Maquillaje",$H282,NA())</f>
        <v>#N/A</v>
      </c>
      <c r="N282">
        <f>IF($E282="Perfumería",$G282,NA())</f>
        <v>2977.32</v>
      </c>
      <c r="O282">
        <f>IF($E282="Perfumería",$H282,NA())</f>
        <v>1682.26</v>
      </c>
      <c r="P282" t="e">
        <f>IF($E282="Cuidado Facial",$G282,NA())</f>
        <v>#N/A</v>
      </c>
      <c r="Q282" t="e">
        <f>IF($E282="Cuidado Facial",$H282,NA())</f>
        <v>#N/A</v>
      </c>
      <c r="R282" t="e">
        <f>IF($E282="Capilar",$G282,NA())</f>
        <v>#N/A</v>
      </c>
      <c r="S282" t="e">
        <f>IF($E282="Capilar",$H282,NA())</f>
        <v>#N/A</v>
      </c>
      <c r="T282" s="6" t="str">
        <f t="shared" si="4"/>
        <v>Mayo</v>
      </c>
    </row>
    <row r="283" spans="1:20" ht="15" customHeight="1" x14ac:dyDescent="0.25">
      <c r="A283" s="5">
        <v>46062</v>
      </c>
      <c r="B283" s="6" t="s">
        <v>41</v>
      </c>
      <c r="C283" s="6" t="s">
        <v>35</v>
      </c>
      <c r="D283" s="6" t="s">
        <v>36</v>
      </c>
      <c r="E283" s="6" t="s">
        <v>37</v>
      </c>
      <c r="F283" s="6">
        <v>8</v>
      </c>
      <c r="G283" s="7">
        <v>1528.7</v>
      </c>
      <c r="H283" s="7">
        <v>708.45</v>
      </c>
      <c r="I283" s="7">
        <v>12229.6</v>
      </c>
      <c r="J283" s="7">
        <v>5667.6</v>
      </c>
      <c r="K283" s="7">
        <v>6562</v>
      </c>
      <c r="L283" s="8">
        <f>IF($E283="Maquillaje",$G283,NA())</f>
        <v>1528.7</v>
      </c>
      <c r="M283" s="8">
        <f>IF($E283="Maquillaje",$H283,NA())</f>
        <v>708.45</v>
      </c>
      <c r="N283" t="e">
        <f>IF($E283="Perfumería",$G283,NA())</f>
        <v>#N/A</v>
      </c>
      <c r="O283" t="e">
        <f>IF($E283="Perfumería",$H283,NA())</f>
        <v>#N/A</v>
      </c>
      <c r="P283" t="e">
        <f>IF($E283="Cuidado Facial",$G283,NA())</f>
        <v>#N/A</v>
      </c>
      <c r="Q283" t="e">
        <f>IF($E283="Cuidado Facial",$H283,NA())</f>
        <v>#N/A</v>
      </c>
      <c r="R283" t="e">
        <f>IF($E283="Capilar",$G283,NA())</f>
        <v>#N/A</v>
      </c>
      <c r="S283" t="e">
        <f>IF($E283="Capilar",$H283,NA())</f>
        <v>#N/A</v>
      </c>
      <c r="T283" s="6" t="str">
        <f t="shared" si="4"/>
        <v>Febrero</v>
      </c>
    </row>
    <row r="284" spans="1:20" ht="15" customHeight="1" x14ac:dyDescent="0.25">
      <c r="A284" s="5">
        <v>46207</v>
      </c>
      <c r="B284" s="6" t="s">
        <v>30</v>
      </c>
      <c r="C284" s="6" t="s">
        <v>48</v>
      </c>
      <c r="D284" s="6" t="s">
        <v>42</v>
      </c>
      <c r="E284" s="6" t="s">
        <v>43</v>
      </c>
      <c r="F284" s="6">
        <v>2</v>
      </c>
      <c r="G284" s="7">
        <v>1031.71</v>
      </c>
      <c r="H284" s="7">
        <v>447.93</v>
      </c>
      <c r="I284" s="7">
        <v>2063.42</v>
      </c>
      <c r="J284" s="7">
        <v>895.86</v>
      </c>
      <c r="K284" s="7">
        <v>1167.56</v>
      </c>
      <c r="L284" t="e">
        <f>IF($E284="Maquillaje",$G284,NA())</f>
        <v>#N/A</v>
      </c>
      <c r="M284" t="e">
        <f>IF($E284="Maquillaje",$H284,NA())</f>
        <v>#N/A</v>
      </c>
      <c r="N284" t="e">
        <f>IF($E284="Perfumería",$G284,NA())</f>
        <v>#N/A</v>
      </c>
      <c r="O284" t="e">
        <f>IF($E284="Perfumería",$H284,NA())</f>
        <v>#N/A</v>
      </c>
      <c r="P284" t="e">
        <f>IF($E284="Cuidado Facial",$G284,NA())</f>
        <v>#N/A</v>
      </c>
      <c r="Q284" t="e">
        <f>IF($E284="Cuidado Facial",$H284,NA())</f>
        <v>#N/A</v>
      </c>
      <c r="R284" s="8">
        <f>IF($E284="Capilar",$G284,NA())</f>
        <v>1031.71</v>
      </c>
      <c r="S284" s="8">
        <f>IF($E284="Capilar",$H284,NA())</f>
        <v>447.93</v>
      </c>
      <c r="T284" s="6" t="str">
        <f t="shared" si="4"/>
        <v>Julio</v>
      </c>
    </row>
    <row r="285" spans="1:20" ht="15" customHeight="1" x14ac:dyDescent="0.25">
      <c r="A285" s="5">
        <v>46083</v>
      </c>
      <c r="B285" s="6" t="s">
        <v>41</v>
      </c>
      <c r="C285" s="6" t="s">
        <v>35</v>
      </c>
      <c r="D285" s="6" t="s">
        <v>42</v>
      </c>
      <c r="E285" s="6" t="s">
        <v>43</v>
      </c>
      <c r="F285" s="6">
        <v>13</v>
      </c>
      <c r="G285" s="7">
        <v>919</v>
      </c>
      <c r="H285" s="7">
        <v>515.04</v>
      </c>
      <c r="I285" s="7">
        <v>11947</v>
      </c>
      <c r="J285" s="7">
        <v>6695.52</v>
      </c>
      <c r="K285" s="7">
        <v>5251.48</v>
      </c>
      <c r="L285" t="e">
        <f>IF($E285="Maquillaje",$G285,NA())</f>
        <v>#N/A</v>
      </c>
      <c r="M285" t="e">
        <f>IF($E285="Maquillaje",$H285,NA())</f>
        <v>#N/A</v>
      </c>
      <c r="N285" t="e">
        <f>IF($E285="Perfumería",$G285,NA())</f>
        <v>#N/A</v>
      </c>
      <c r="O285" t="e">
        <f>IF($E285="Perfumería",$H285,NA())</f>
        <v>#N/A</v>
      </c>
      <c r="P285" t="e">
        <f>IF($E285="Cuidado Facial",$G285,NA())</f>
        <v>#N/A</v>
      </c>
      <c r="Q285" t="e">
        <f>IF($E285="Cuidado Facial",$H285,NA())</f>
        <v>#N/A</v>
      </c>
      <c r="R285" s="8">
        <f>IF($E285="Capilar",$G285,NA())</f>
        <v>919</v>
      </c>
      <c r="S285" s="8">
        <f>IF($E285="Capilar",$H285,NA())</f>
        <v>515.04</v>
      </c>
      <c r="T285" s="6" t="str">
        <f t="shared" si="4"/>
        <v>Marzo</v>
      </c>
    </row>
    <row r="286" spans="1:20" ht="15" customHeight="1" x14ac:dyDescent="0.25">
      <c r="A286" s="5">
        <v>46355</v>
      </c>
      <c r="B286" s="6" t="s">
        <v>41</v>
      </c>
      <c r="C286" s="6" t="s">
        <v>35</v>
      </c>
      <c r="D286" s="6" t="s">
        <v>39</v>
      </c>
      <c r="E286" s="6" t="s">
        <v>40</v>
      </c>
      <c r="F286" s="6">
        <v>2</v>
      </c>
      <c r="G286" s="7">
        <v>2214.04</v>
      </c>
      <c r="H286" s="7">
        <v>1072.02</v>
      </c>
      <c r="I286" s="7">
        <v>4428.08</v>
      </c>
      <c r="J286" s="7">
        <v>2144.04</v>
      </c>
      <c r="K286" s="7">
        <v>2284.04</v>
      </c>
      <c r="L286" t="e">
        <f>IF($E286="Maquillaje",$G286,NA())</f>
        <v>#N/A</v>
      </c>
      <c r="M286" t="e">
        <f>IF($E286="Maquillaje",$H286,NA())</f>
        <v>#N/A</v>
      </c>
      <c r="N286" t="e">
        <f>IF($E286="Perfumería",$G286,NA())</f>
        <v>#N/A</v>
      </c>
      <c r="O286" t="e">
        <f>IF($E286="Perfumería",$H286,NA())</f>
        <v>#N/A</v>
      </c>
      <c r="P286" s="8">
        <f>IF($E286="Cuidado Facial",$G286,NA())</f>
        <v>2214.04</v>
      </c>
      <c r="Q286" s="8">
        <f>IF($E286="Cuidado Facial",$H286,NA())</f>
        <v>1072.02</v>
      </c>
      <c r="R286" t="e">
        <f>IF($E286="Capilar",$G286,NA())</f>
        <v>#N/A</v>
      </c>
      <c r="S286" t="e">
        <f>IF($E286="Capilar",$H286,NA())</f>
        <v>#N/A</v>
      </c>
      <c r="T286" s="6" t="str">
        <f t="shared" si="4"/>
        <v>Noviembre</v>
      </c>
    </row>
    <row r="287" spans="1:20" ht="15" customHeight="1" x14ac:dyDescent="0.25">
      <c r="A287" s="5">
        <v>46094</v>
      </c>
      <c r="B287" s="6" t="s">
        <v>46</v>
      </c>
      <c r="C287" s="6" t="s">
        <v>31</v>
      </c>
      <c r="D287" s="6" t="s">
        <v>44</v>
      </c>
      <c r="E287" s="6" t="s">
        <v>37</v>
      </c>
      <c r="F287" s="6">
        <v>9</v>
      </c>
      <c r="G287" s="7">
        <v>1278.57</v>
      </c>
      <c r="H287" s="7">
        <v>599.37</v>
      </c>
      <c r="I287" s="7">
        <v>11507.13</v>
      </c>
      <c r="J287" s="7">
        <v>5394.33</v>
      </c>
      <c r="K287" s="7">
        <v>6112.8</v>
      </c>
      <c r="L287" s="8">
        <f>IF($E287="Maquillaje",$G287,NA())</f>
        <v>1278.57</v>
      </c>
      <c r="M287" s="8">
        <f>IF($E287="Maquillaje",$H287,NA())</f>
        <v>599.37</v>
      </c>
      <c r="N287" t="e">
        <f>IF($E287="Perfumería",$G287,NA())</f>
        <v>#N/A</v>
      </c>
      <c r="O287" t="e">
        <f>IF($E287="Perfumería",$H287,NA())</f>
        <v>#N/A</v>
      </c>
      <c r="P287" t="e">
        <f>IF($E287="Cuidado Facial",$G287,NA())</f>
        <v>#N/A</v>
      </c>
      <c r="Q287" t="e">
        <f>IF($E287="Cuidado Facial",$H287,NA())</f>
        <v>#N/A</v>
      </c>
      <c r="R287" t="e">
        <f>IF($E287="Capilar",$G287,NA())</f>
        <v>#N/A</v>
      </c>
      <c r="S287" t="e">
        <f>IF($E287="Capilar",$H287,NA())</f>
        <v>#N/A</v>
      </c>
      <c r="T287" s="6" t="str">
        <f t="shared" si="4"/>
        <v>Marzo</v>
      </c>
    </row>
    <row r="288" spans="1:20" ht="15" customHeight="1" x14ac:dyDescent="0.25">
      <c r="A288" s="5">
        <v>46192</v>
      </c>
      <c r="B288" s="6" t="s">
        <v>30</v>
      </c>
      <c r="C288" s="6" t="s">
        <v>48</v>
      </c>
      <c r="D288" s="6" t="s">
        <v>39</v>
      </c>
      <c r="E288" s="6" t="s">
        <v>40</v>
      </c>
      <c r="F288" s="6">
        <v>9</v>
      </c>
      <c r="G288" s="7">
        <v>2189.5</v>
      </c>
      <c r="H288" s="7">
        <v>991.83</v>
      </c>
      <c r="I288" s="7">
        <v>19705.5</v>
      </c>
      <c r="J288" s="7">
        <v>8926.4699999999993</v>
      </c>
      <c r="K288" s="7">
        <v>10779.03</v>
      </c>
      <c r="L288" t="e">
        <f>IF($E288="Maquillaje",$G288,NA())</f>
        <v>#N/A</v>
      </c>
      <c r="M288" t="e">
        <f>IF($E288="Maquillaje",$H288,NA())</f>
        <v>#N/A</v>
      </c>
      <c r="N288" t="e">
        <f>IF($E288="Perfumería",$G288,NA())</f>
        <v>#N/A</v>
      </c>
      <c r="O288" t="e">
        <f>IF($E288="Perfumería",$H288,NA())</f>
        <v>#N/A</v>
      </c>
      <c r="P288" s="8">
        <f>IF($E288="Cuidado Facial",$G288,NA())</f>
        <v>2189.5</v>
      </c>
      <c r="Q288" s="8">
        <f>IF($E288="Cuidado Facial",$H288,NA())</f>
        <v>991.83</v>
      </c>
      <c r="R288" t="e">
        <f>IF($E288="Capilar",$G288,NA())</f>
        <v>#N/A</v>
      </c>
      <c r="S288" t="e">
        <f>IF($E288="Capilar",$H288,NA())</f>
        <v>#N/A</v>
      </c>
      <c r="T288" s="6" t="str">
        <f t="shared" si="4"/>
        <v>Junio</v>
      </c>
    </row>
    <row r="289" spans="1:20" ht="15" customHeight="1" x14ac:dyDescent="0.25">
      <c r="A289" s="5">
        <v>46214</v>
      </c>
      <c r="B289" s="6" t="s">
        <v>38</v>
      </c>
      <c r="C289" s="6" t="s">
        <v>31</v>
      </c>
      <c r="D289" s="6" t="s">
        <v>36</v>
      </c>
      <c r="E289" s="6" t="s">
        <v>37</v>
      </c>
      <c r="F289" s="6">
        <v>7</v>
      </c>
      <c r="G289" s="7">
        <v>1453.51</v>
      </c>
      <c r="H289" s="7">
        <v>793.85</v>
      </c>
      <c r="I289" s="7">
        <v>10174.57</v>
      </c>
      <c r="J289" s="7">
        <v>5556.95</v>
      </c>
      <c r="K289" s="7">
        <v>4617.62</v>
      </c>
      <c r="L289" s="8">
        <f>IF($E289="Maquillaje",$G289,NA())</f>
        <v>1453.51</v>
      </c>
      <c r="M289" s="8">
        <f>IF($E289="Maquillaje",$H289,NA())</f>
        <v>793.85</v>
      </c>
      <c r="N289" t="e">
        <f>IF($E289="Perfumería",$G289,NA())</f>
        <v>#N/A</v>
      </c>
      <c r="O289" t="e">
        <f>IF($E289="Perfumería",$H289,NA())</f>
        <v>#N/A</v>
      </c>
      <c r="P289" t="e">
        <f>IF($E289="Cuidado Facial",$G289,NA())</f>
        <v>#N/A</v>
      </c>
      <c r="Q289" t="e">
        <f>IF($E289="Cuidado Facial",$H289,NA())</f>
        <v>#N/A</v>
      </c>
      <c r="R289" t="e">
        <f>IF($E289="Capilar",$G289,NA())</f>
        <v>#N/A</v>
      </c>
      <c r="S289" t="e">
        <f>IF($E289="Capilar",$H289,NA())</f>
        <v>#N/A</v>
      </c>
      <c r="T289" s="6" t="str">
        <f t="shared" si="4"/>
        <v>Julio</v>
      </c>
    </row>
    <row r="290" spans="1:20" ht="15" customHeight="1" x14ac:dyDescent="0.25">
      <c r="A290" s="5">
        <v>46213</v>
      </c>
      <c r="B290" s="6" t="s">
        <v>34</v>
      </c>
      <c r="C290" s="6" t="s">
        <v>35</v>
      </c>
      <c r="D290" s="6" t="s">
        <v>45</v>
      </c>
      <c r="E290" s="6" t="s">
        <v>43</v>
      </c>
      <c r="F290" s="6">
        <v>3</v>
      </c>
      <c r="G290" s="7">
        <v>1084.8900000000001</v>
      </c>
      <c r="H290" s="7">
        <v>612.54999999999995</v>
      </c>
      <c r="I290" s="7">
        <v>3254.67</v>
      </c>
      <c r="J290" s="7">
        <v>1837.65</v>
      </c>
      <c r="K290" s="7">
        <v>1417.02</v>
      </c>
      <c r="L290" t="e">
        <f>IF($E290="Maquillaje",$G290,NA())</f>
        <v>#N/A</v>
      </c>
      <c r="M290" t="e">
        <f>IF($E290="Maquillaje",$H290,NA())</f>
        <v>#N/A</v>
      </c>
      <c r="N290" t="e">
        <f>IF($E290="Perfumería",$G290,NA())</f>
        <v>#N/A</v>
      </c>
      <c r="O290" t="e">
        <f>IF($E290="Perfumería",$H290,NA())</f>
        <v>#N/A</v>
      </c>
      <c r="P290" t="e">
        <f>IF($E290="Cuidado Facial",$G290,NA())</f>
        <v>#N/A</v>
      </c>
      <c r="Q290" t="e">
        <f>IF($E290="Cuidado Facial",$H290,NA())</f>
        <v>#N/A</v>
      </c>
      <c r="R290" s="8">
        <f>IF($E290="Capilar",$G290,NA())</f>
        <v>1084.8900000000001</v>
      </c>
      <c r="S290" s="8">
        <f>IF($E290="Capilar",$H290,NA())</f>
        <v>612.54999999999995</v>
      </c>
      <c r="T290" s="6" t="str">
        <f t="shared" si="4"/>
        <v>Julio</v>
      </c>
    </row>
    <row r="291" spans="1:20" ht="15" customHeight="1" x14ac:dyDescent="0.25">
      <c r="A291" s="5">
        <v>46338</v>
      </c>
      <c r="B291" s="6" t="s">
        <v>41</v>
      </c>
      <c r="C291" s="6" t="s">
        <v>35</v>
      </c>
      <c r="D291" s="6" t="s">
        <v>32</v>
      </c>
      <c r="E291" s="6" t="s">
        <v>33</v>
      </c>
      <c r="F291" s="6">
        <v>12</v>
      </c>
      <c r="G291" s="7">
        <v>3670.24</v>
      </c>
      <c r="H291" s="7">
        <v>1580.79</v>
      </c>
      <c r="I291" s="7">
        <v>44042.879999999997</v>
      </c>
      <c r="J291" s="7">
        <v>18969.48</v>
      </c>
      <c r="K291" s="7">
        <v>25073.4</v>
      </c>
      <c r="L291" t="e">
        <f>IF($E291="Maquillaje",$G291,NA())</f>
        <v>#N/A</v>
      </c>
      <c r="M291" t="e">
        <f>IF($E291="Maquillaje",$H291,NA())</f>
        <v>#N/A</v>
      </c>
      <c r="N291" s="8">
        <f>IF($E291="Perfumería",$G291,NA())</f>
        <v>3670.24</v>
      </c>
      <c r="O291" s="8">
        <f>IF($E291="Perfumería",$H291,NA())</f>
        <v>1580.79</v>
      </c>
      <c r="P291" t="e">
        <f>IF($E291="Cuidado Facial",$G291,NA())</f>
        <v>#N/A</v>
      </c>
      <c r="Q291" t="e">
        <f>IF($E291="Cuidado Facial",$H291,NA())</f>
        <v>#N/A</v>
      </c>
      <c r="R291" t="e">
        <f>IF($E291="Capilar",$G291,NA())</f>
        <v>#N/A</v>
      </c>
      <c r="S291" t="e">
        <f>IF($E291="Capilar",$H291,NA())</f>
        <v>#N/A</v>
      </c>
      <c r="T291" s="6" t="str">
        <f t="shared" si="4"/>
        <v>Noviembre</v>
      </c>
    </row>
    <row r="292" spans="1:20" ht="15" customHeight="1" x14ac:dyDescent="0.25">
      <c r="A292" s="5">
        <v>46158</v>
      </c>
      <c r="B292" s="6" t="s">
        <v>38</v>
      </c>
      <c r="C292" s="6" t="s">
        <v>31</v>
      </c>
      <c r="D292" s="6" t="s">
        <v>44</v>
      </c>
      <c r="E292" s="6" t="s">
        <v>37</v>
      </c>
      <c r="F292" s="6">
        <v>6</v>
      </c>
      <c r="G292" s="7">
        <v>1129.3499999999999</v>
      </c>
      <c r="H292" s="7">
        <v>586.69000000000005</v>
      </c>
      <c r="I292" s="7">
        <v>6776.1</v>
      </c>
      <c r="J292" s="7">
        <v>3520.14</v>
      </c>
      <c r="K292" s="7">
        <v>3255.96</v>
      </c>
      <c r="L292" s="8">
        <f>IF($E292="Maquillaje",$G292,NA())</f>
        <v>1129.3499999999999</v>
      </c>
      <c r="M292" s="8">
        <f>IF($E292="Maquillaje",$H292,NA())</f>
        <v>586.69000000000005</v>
      </c>
      <c r="N292" t="e">
        <f>IF($E292="Perfumería",$G292,NA())</f>
        <v>#N/A</v>
      </c>
      <c r="O292" t="e">
        <f>IF($E292="Perfumería",$H292,NA())</f>
        <v>#N/A</v>
      </c>
      <c r="P292" t="e">
        <f>IF($E292="Cuidado Facial",$G292,NA())</f>
        <v>#N/A</v>
      </c>
      <c r="Q292" t="e">
        <f>IF($E292="Cuidado Facial",$H292,NA())</f>
        <v>#N/A</v>
      </c>
      <c r="R292" t="e">
        <f>IF($E292="Capilar",$G292,NA())</f>
        <v>#N/A</v>
      </c>
      <c r="S292" t="e">
        <f>IF($E292="Capilar",$H292,NA())</f>
        <v>#N/A</v>
      </c>
      <c r="T292" s="6" t="str">
        <f t="shared" si="4"/>
        <v>Mayo</v>
      </c>
    </row>
    <row r="293" spans="1:20" ht="15" customHeight="1" x14ac:dyDescent="0.25">
      <c r="A293" s="5">
        <v>46158</v>
      </c>
      <c r="B293" s="6" t="s">
        <v>46</v>
      </c>
      <c r="C293" s="6" t="s">
        <v>31</v>
      </c>
      <c r="D293" s="6" t="s">
        <v>49</v>
      </c>
      <c r="E293" s="6" t="s">
        <v>40</v>
      </c>
      <c r="F293" s="6">
        <v>2</v>
      </c>
      <c r="G293" s="7">
        <v>1635.93</v>
      </c>
      <c r="H293" s="7">
        <v>841.53</v>
      </c>
      <c r="I293" s="7">
        <v>3271.86</v>
      </c>
      <c r="J293" s="7">
        <v>1683.06</v>
      </c>
      <c r="K293" s="7">
        <v>1588.8</v>
      </c>
      <c r="L293" t="e">
        <f>IF($E293="Maquillaje",$G293,NA())</f>
        <v>#N/A</v>
      </c>
      <c r="M293" t="e">
        <f>IF($E293="Maquillaje",$H293,NA())</f>
        <v>#N/A</v>
      </c>
      <c r="N293" t="e">
        <f>IF($E293="Perfumería",$G293,NA())</f>
        <v>#N/A</v>
      </c>
      <c r="O293" t="e">
        <f>IF($E293="Perfumería",$H293,NA())</f>
        <v>#N/A</v>
      </c>
      <c r="P293" s="8">
        <f>IF($E293="Cuidado Facial",$G293,NA())</f>
        <v>1635.93</v>
      </c>
      <c r="Q293" s="8">
        <f>IF($E293="Cuidado Facial",$H293,NA())</f>
        <v>841.53</v>
      </c>
      <c r="R293" t="e">
        <f>IF($E293="Capilar",$G293,NA())</f>
        <v>#N/A</v>
      </c>
      <c r="S293" t="e">
        <f>IF($E293="Capilar",$H293,NA())</f>
        <v>#N/A</v>
      </c>
      <c r="T293" s="6" t="str">
        <f t="shared" si="4"/>
        <v>Mayo</v>
      </c>
    </row>
    <row r="294" spans="1:20" ht="15" customHeight="1" x14ac:dyDescent="0.25">
      <c r="A294" s="5">
        <v>46255</v>
      </c>
      <c r="B294" s="6" t="s">
        <v>34</v>
      </c>
      <c r="C294" s="6" t="s">
        <v>35</v>
      </c>
      <c r="D294" s="6" t="s">
        <v>49</v>
      </c>
      <c r="E294" s="6" t="s">
        <v>40</v>
      </c>
      <c r="F294" s="6">
        <v>8</v>
      </c>
      <c r="G294" s="7">
        <v>1976.61</v>
      </c>
      <c r="H294" s="7">
        <v>974.11</v>
      </c>
      <c r="I294" s="7">
        <v>15812.88</v>
      </c>
      <c r="J294" s="7">
        <v>7792.88</v>
      </c>
      <c r="K294" s="7">
        <v>8020</v>
      </c>
      <c r="L294" t="e">
        <f>IF($E294="Maquillaje",$G294,NA())</f>
        <v>#N/A</v>
      </c>
      <c r="M294" t="e">
        <f>IF($E294="Maquillaje",$H294,NA())</f>
        <v>#N/A</v>
      </c>
      <c r="N294" t="e">
        <f>IF($E294="Perfumería",$G294,NA())</f>
        <v>#N/A</v>
      </c>
      <c r="O294" t="e">
        <f>IF($E294="Perfumería",$H294,NA())</f>
        <v>#N/A</v>
      </c>
      <c r="P294" s="8">
        <f>IF($E294="Cuidado Facial",$G294,NA())</f>
        <v>1976.61</v>
      </c>
      <c r="Q294" s="8">
        <f>IF($E294="Cuidado Facial",$H294,NA())</f>
        <v>974.11</v>
      </c>
      <c r="R294" t="e">
        <f>IF($E294="Capilar",$G294,NA())</f>
        <v>#N/A</v>
      </c>
      <c r="S294" t="e">
        <f>IF($E294="Capilar",$H294,NA())</f>
        <v>#N/A</v>
      </c>
      <c r="T294" s="6" t="str">
        <f t="shared" si="4"/>
        <v>Agosto</v>
      </c>
    </row>
    <row r="295" spans="1:20" ht="15" customHeight="1" x14ac:dyDescent="0.25">
      <c r="A295" s="5">
        <v>46088</v>
      </c>
      <c r="B295" s="6" t="s">
        <v>46</v>
      </c>
      <c r="C295" s="6" t="s">
        <v>31</v>
      </c>
      <c r="D295" s="6" t="s">
        <v>32</v>
      </c>
      <c r="E295" s="6" t="s">
        <v>33</v>
      </c>
      <c r="F295" s="6">
        <v>5</v>
      </c>
      <c r="G295" s="7">
        <v>3506.3</v>
      </c>
      <c r="H295" s="7">
        <v>1903.13</v>
      </c>
      <c r="I295" s="7">
        <v>17531.5</v>
      </c>
      <c r="J295" s="7">
        <v>9515.65</v>
      </c>
      <c r="K295" s="7">
        <v>8015.85</v>
      </c>
      <c r="L295" t="e">
        <f>IF($E295="Maquillaje",$G295,NA())</f>
        <v>#N/A</v>
      </c>
      <c r="M295" t="e">
        <f>IF($E295="Maquillaje",$H295,NA())</f>
        <v>#N/A</v>
      </c>
      <c r="N295">
        <f>IF($E295="Perfumería",$G295,NA())</f>
        <v>3506.3</v>
      </c>
      <c r="O295">
        <f>IF($E295="Perfumería",$H295,NA())</f>
        <v>1903.13</v>
      </c>
      <c r="P295" t="e">
        <f>IF($E295="Cuidado Facial",$G295,NA())</f>
        <v>#N/A</v>
      </c>
      <c r="Q295" t="e">
        <f>IF($E295="Cuidado Facial",$H295,NA())</f>
        <v>#N/A</v>
      </c>
      <c r="R295" t="e">
        <f>IF($E295="Capilar",$G295,NA())</f>
        <v>#N/A</v>
      </c>
      <c r="S295" t="e">
        <f>IF($E295="Capilar",$H295,NA())</f>
        <v>#N/A</v>
      </c>
      <c r="T295" s="6" t="str">
        <f t="shared" si="4"/>
        <v>Marzo</v>
      </c>
    </row>
    <row r="296" spans="1:20" ht="15" customHeight="1" x14ac:dyDescent="0.25">
      <c r="A296" s="5">
        <v>46127</v>
      </c>
      <c r="B296" s="6" t="s">
        <v>34</v>
      </c>
      <c r="C296" s="6" t="s">
        <v>35</v>
      </c>
      <c r="D296" s="6" t="s">
        <v>47</v>
      </c>
      <c r="E296" s="6" t="s">
        <v>33</v>
      </c>
      <c r="F296" s="6">
        <v>8</v>
      </c>
      <c r="G296" s="7">
        <v>3172.1</v>
      </c>
      <c r="H296" s="7">
        <v>1627.37</v>
      </c>
      <c r="I296" s="7">
        <v>25376.799999999999</v>
      </c>
      <c r="J296" s="7">
        <v>13018.96</v>
      </c>
      <c r="K296" s="7">
        <v>12357.84</v>
      </c>
      <c r="L296" t="e">
        <f>IF($E296="Maquillaje",$G296,NA())</f>
        <v>#N/A</v>
      </c>
      <c r="M296" t="e">
        <f>IF($E296="Maquillaje",$H296,NA())</f>
        <v>#N/A</v>
      </c>
      <c r="N296" s="8">
        <f>IF($E296="Perfumería",$G296,NA())</f>
        <v>3172.1</v>
      </c>
      <c r="O296" s="8">
        <f>IF($E296="Perfumería",$H296,NA())</f>
        <v>1627.37</v>
      </c>
      <c r="P296" t="e">
        <f>IF($E296="Cuidado Facial",$G296,NA())</f>
        <v>#N/A</v>
      </c>
      <c r="Q296" t="e">
        <f>IF($E296="Cuidado Facial",$H296,NA())</f>
        <v>#N/A</v>
      </c>
      <c r="R296" t="e">
        <f>IF($E296="Capilar",$G296,NA())</f>
        <v>#N/A</v>
      </c>
      <c r="S296" t="e">
        <f>IF($E296="Capilar",$H296,NA())</f>
        <v>#N/A</v>
      </c>
      <c r="T296" s="6" t="str">
        <f t="shared" si="4"/>
        <v>Abril</v>
      </c>
    </row>
    <row r="297" spans="1:20" ht="15" customHeight="1" x14ac:dyDescent="0.25">
      <c r="A297" s="5">
        <v>46057</v>
      </c>
      <c r="B297" s="6" t="s">
        <v>46</v>
      </c>
      <c r="C297" s="6" t="s">
        <v>31</v>
      </c>
      <c r="D297" s="6" t="s">
        <v>47</v>
      </c>
      <c r="E297" s="6" t="s">
        <v>33</v>
      </c>
      <c r="F297" s="6">
        <v>11</v>
      </c>
      <c r="G297" s="7">
        <v>3310.65</v>
      </c>
      <c r="H297" s="7">
        <v>1668.4</v>
      </c>
      <c r="I297" s="7">
        <v>36417.15</v>
      </c>
      <c r="J297" s="7">
        <v>18352.400000000001</v>
      </c>
      <c r="K297" s="7">
        <v>18064.75</v>
      </c>
      <c r="L297" t="e">
        <f>IF($E297="Maquillaje",$G297,NA())</f>
        <v>#N/A</v>
      </c>
      <c r="M297" t="e">
        <f>IF($E297="Maquillaje",$H297,NA())</f>
        <v>#N/A</v>
      </c>
      <c r="N297">
        <f>IF($E297="Perfumería",$G297,NA())</f>
        <v>3310.65</v>
      </c>
      <c r="O297">
        <f>IF($E297="Perfumería",$H297,NA())</f>
        <v>1668.4</v>
      </c>
      <c r="P297" t="e">
        <f>IF($E297="Cuidado Facial",$G297,NA())</f>
        <v>#N/A</v>
      </c>
      <c r="Q297" t="e">
        <f>IF($E297="Cuidado Facial",$H297,NA())</f>
        <v>#N/A</v>
      </c>
      <c r="R297" t="e">
        <f>IF($E297="Capilar",$G297,NA())</f>
        <v>#N/A</v>
      </c>
      <c r="S297" t="e">
        <f>IF($E297="Capilar",$H297,NA())</f>
        <v>#N/A</v>
      </c>
      <c r="T297" s="6" t="str">
        <f t="shared" si="4"/>
        <v>Febrero</v>
      </c>
    </row>
    <row r="298" spans="1:20" ht="15" customHeight="1" x14ac:dyDescent="0.25">
      <c r="A298" s="5">
        <v>46137</v>
      </c>
      <c r="B298" s="6" t="s">
        <v>38</v>
      </c>
      <c r="C298" s="6" t="s">
        <v>31</v>
      </c>
      <c r="D298" s="6" t="s">
        <v>36</v>
      </c>
      <c r="E298" s="6" t="s">
        <v>37</v>
      </c>
      <c r="F298" s="6">
        <v>13</v>
      </c>
      <c r="G298" s="7">
        <v>1305.27</v>
      </c>
      <c r="H298" s="7">
        <v>774.78</v>
      </c>
      <c r="I298" s="7">
        <v>16968.509999999998</v>
      </c>
      <c r="J298" s="7">
        <v>10072.14</v>
      </c>
      <c r="K298" s="7">
        <v>6896.37</v>
      </c>
      <c r="L298" s="8">
        <f>IF($E298="Maquillaje",$G298,NA())</f>
        <v>1305.27</v>
      </c>
      <c r="M298" s="8">
        <f>IF($E298="Maquillaje",$H298,NA())</f>
        <v>774.78</v>
      </c>
      <c r="N298" t="e">
        <f>IF($E298="Perfumería",$G298,NA())</f>
        <v>#N/A</v>
      </c>
      <c r="O298" t="e">
        <f>IF($E298="Perfumería",$H298,NA())</f>
        <v>#N/A</v>
      </c>
      <c r="P298" t="e">
        <f>IF($E298="Cuidado Facial",$G298,NA())</f>
        <v>#N/A</v>
      </c>
      <c r="Q298" t="e">
        <f>IF($E298="Cuidado Facial",$H298,NA())</f>
        <v>#N/A</v>
      </c>
      <c r="R298" t="e">
        <f>IF($E298="Capilar",$G298,NA())</f>
        <v>#N/A</v>
      </c>
      <c r="S298" t="e">
        <f>IF($E298="Capilar",$H298,NA())</f>
        <v>#N/A</v>
      </c>
      <c r="T298" s="6" t="str">
        <f t="shared" si="4"/>
        <v>Abril</v>
      </c>
    </row>
    <row r="299" spans="1:20" ht="15" customHeight="1" x14ac:dyDescent="0.25">
      <c r="A299" s="5">
        <v>46367</v>
      </c>
      <c r="B299" s="6" t="s">
        <v>46</v>
      </c>
      <c r="C299" s="6" t="s">
        <v>31</v>
      </c>
      <c r="D299" s="6" t="s">
        <v>44</v>
      </c>
      <c r="E299" s="6" t="s">
        <v>37</v>
      </c>
      <c r="F299" s="6">
        <v>8</v>
      </c>
      <c r="G299" s="7">
        <v>1084.3699999999999</v>
      </c>
      <c r="H299" s="7">
        <v>683.43</v>
      </c>
      <c r="I299" s="7">
        <v>8674.9599999999991</v>
      </c>
      <c r="J299" s="7">
        <v>5467.44</v>
      </c>
      <c r="K299" s="7">
        <v>3207.52</v>
      </c>
      <c r="L299" s="8">
        <f>IF($E299="Maquillaje",$G299,NA())</f>
        <v>1084.3699999999999</v>
      </c>
      <c r="M299" s="8">
        <f>IF($E299="Maquillaje",$H299,NA())</f>
        <v>683.43</v>
      </c>
      <c r="N299" t="e">
        <f>IF($E299="Perfumería",$G299,NA())</f>
        <v>#N/A</v>
      </c>
      <c r="O299" t="e">
        <f>IF($E299="Perfumería",$H299,NA())</f>
        <v>#N/A</v>
      </c>
      <c r="P299" t="e">
        <f>IF($E299="Cuidado Facial",$G299,NA())</f>
        <v>#N/A</v>
      </c>
      <c r="Q299" t="e">
        <f>IF($E299="Cuidado Facial",$H299,NA())</f>
        <v>#N/A</v>
      </c>
      <c r="R299" t="e">
        <f>IF($E299="Capilar",$G299,NA())</f>
        <v>#N/A</v>
      </c>
      <c r="S299" t="e">
        <f>IF($E299="Capilar",$H299,NA())</f>
        <v>#N/A</v>
      </c>
      <c r="T299" s="6" t="str">
        <f t="shared" si="4"/>
        <v>Diciembre</v>
      </c>
    </row>
    <row r="300" spans="1:20" ht="15" customHeight="1" x14ac:dyDescent="0.25">
      <c r="A300" s="5">
        <v>46354</v>
      </c>
      <c r="B300" s="6" t="s">
        <v>38</v>
      </c>
      <c r="C300" s="6" t="s">
        <v>31</v>
      </c>
      <c r="D300" s="6" t="s">
        <v>39</v>
      </c>
      <c r="E300" s="6" t="s">
        <v>40</v>
      </c>
      <c r="F300" s="6">
        <v>7</v>
      </c>
      <c r="G300" s="7">
        <v>2171.6999999999998</v>
      </c>
      <c r="H300" s="7">
        <v>1062.58</v>
      </c>
      <c r="I300" s="7">
        <v>15201.9</v>
      </c>
      <c r="J300" s="7">
        <v>7438.06</v>
      </c>
      <c r="K300" s="7">
        <v>7763.84</v>
      </c>
      <c r="L300" t="e">
        <f>IF($E300="Maquillaje",$G300,NA())</f>
        <v>#N/A</v>
      </c>
      <c r="M300" t="e">
        <f>IF($E300="Maquillaje",$H300,NA())</f>
        <v>#N/A</v>
      </c>
      <c r="N300" t="e">
        <f>IF($E300="Perfumería",$G300,NA())</f>
        <v>#N/A</v>
      </c>
      <c r="O300" t="e">
        <f>IF($E300="Perfumería",$H300,NA())</f>
        <v>#N/A</v>
      </c>
      <c r="P300" s="8">
        <f>IF($E300="Cuidado Facial",$G300,NA())</f>
        <v>2171.6999999999998</v>
      </c>
      <c r="Q300" s="8">
        <f>IF($E300="Cuidado Facial",$H300,NA())</f>
        <v>1062.58</v>
      </c>
      <c r="R300" t="e">
        <f>IF($E300="Capilar",$G300,NA())</f>
        <v>#N/A</v>
      </c>
      <c r="S300" t="e">
        <f>IF($E300="Capilar",$H300,NA())</f>
        <v>#N/A</v>
      </c>
      <c r="T300" s="6" t="str">
        <f t="shared" si="4"/>
        <v>Noviembre</v>
      </c>
    </row>
    <row r="301" spans="1:20" ht="15" customHeight="1" x14ac:dyDescent="0.25">
      <c r="A301" s="5">
        <v>46257</v>
      </c>
      <c r="B301" s="6" t="s">
        <v>46</v>
      </c>
      <c r="C301" s="6" t="s">
        <v>31</v>
      </c>
      <c r="D301" s="6" t="s">
        <v>36</v>
      </c>
      <c r="E301" s="6" t="s">
        <v>37</v>
      </c>
      <c r="F301" s="6">
        <v>2</v>
      </c>
      <c r="G301" s="7">
        <v>1463.37</v>
      </c>
      <c r="H301" s="7">
        <v>756.99</v>
      </c>
      <c r="I301" s="7">
        <v>2926.74</v>
      </c>
      <c r="J301" s="7">
        <v>1513.98</v>
      </c>
      <c r="K301" s="7">
        <v>1412.76</v>
      </c>
      <c r="L301" s="8">
        <f>IF($E301="Maquillaje",$G301,NA())</f>
        <v>1463.37</v>
      </c>
      <c r="M301" s="8">
        <f>IF($E301="Maquillaje",$H301,NA())</f>
        <v>756.99</v>
      </c>
      <c r="N301" t="e">
        <f>IF($E301="Perfumería",$G301,NA())</f>
        <v>#N/A</v>
      </c>
      <c r="O301" t="e">
        <f>IF($E301="Perfumería",$H301,NA())</f>
        <v>#N/A</v>
      </c>
      <c r="P301" t="e">
        <f>IF($E301="Cuidado Facial",$G301,NA())</f>
        <v>#N/A</v>
      </c>
      <c r="Q301" t="e">
        <f>IF($E301="Cuidado Facial",$H301,NA())</f>
        <v>#N/A</v>
      </c>
      <c r="R301" t="e">
        <f>IF($E301="Capilar",$G301,NA())</f>
        <v>#N/A</v>
      </c>
      <c r="S301" t="e">
        <f>IF($E301="Capilar",$H301,NA())</f>
        <v>#N/A</v>
      </c>
      <c r="T301" s="6" t="str">
        <f t="shared" si="4"/>
        <v>Agosto</v>
      </c>
    </row>
    <row r="302" spans="1:20" ht="15" customHeight="1" x14ac:dyDescent="0.25">
      <c r="A302" s="5">
        <v>46081</v>
      </c>
      <c r="B302" s="6" t="s">
        <v>46</v>
      </c>
      <c r="C302" s="6" t="s">
        <v>31</v>
      </c>
      <c r="D302" s="6" t="s">
        <v>45</v>
      </c>
      <c r="E302" s="6" t="s">
        <v>43</v>
      </c>
      <c r="F302" s="6">
        <v>15</v>
      </c>
      <c r="G302" s="7">
        <v>1124.42</v>
      </c>
      <c r="H302" s="7">
        <v>576.64</v>
      </c>
      <c r="I302" s="7">
        <v>16866.3</v>
      </c>
      <c r="J302" s="7">
        <v>8649.6</v>
      </c>
      <c r="K302" s="7">
        <v>8216.7000000000007</v>
      </c>
      <c r="L302" t="e">
        <f>IF($E302="Maquillaje",$G302,NA())</f>
        <v>#N/A</v>
      </c>
      <c r="M302" t="e">
        <f>IF($E302="Maquillaje",$H302,NA())</f>
        <v>#N/A</v>
      </c>
      <c r="N302" t="e">
        <f>IF($E302="Perfumería",$G302,NA())</f>
        <v>#N/A</v>
      </c>
      <c r="O302" t="e">
        <f>IF($E302="Perfumería",$H302,NA())</f>
        <v>#N/A</v>
      </c>
      <c r="P302" t="e">
        <f>IF($E302="Cuidado Facial",$G302,NA())</f>
        <v>#N/A</v>
      </c>
      <c r="Q302" t="e">
        <f>IF($E302="Cuidado Facial",$H302,NA())</f>
        <v>#N/A</v>
      </c>
      <c r="R302" s="8">
        <f>IF($E302="Capilar",$G302,NA())</f>
        <v>1124.42</v>
      </c>
      <c r="S302" s="8">
        <f>IF($E302="Capilar",$H302,NA())</f>
        <v>576.64</v>
      </c>
      <c r="T302" s="6" t="str">
        <f t="shared" si="4"/>
        <v>Febrero</v>
      </c>
    </row>
    <row r="303" spans="1:20" ht="15" customHeight="1" x14ac:dyDescent="0.25">
      <c r="A303" s="5">
        <v>46034</v>
      </c>
      <c r="B303" s="6" t="s">
        <v>38</v>
      </c>
      <c r="C303" s="6" t="s">
        <v>31</v>
      </c>
      <c r="D303" s="6" t="s">
        <v>42</v>
      </c>
      <c r="E303" s="6" t="s">
        <v>43</v>
      </c>
      <c r="F303" s="6">
        <v>3</v>
      </c>
      <c r="G303" s="7">
        <v>972.56</v>
      </c>
      <c r="H303" s="7">
        <v>460.16</v>
      </c>
      <c r="I303" s="7">
        <v>2917.68</v>
      </c>
      <c r="J303" s="7">
        <v>1380.48</v>
      </c>
      <c r="K303" s="7">
        <v>1537.2</v>
      </c>
      <c r="L303" t="e">
        <f>IF($E303="Maquillaje",$G303,NA())</f>
        <v>#N/A</v>
      </c>
      <c r="M303" t="e">
        <f>IF($E303="Maquillaje",$H303,NA())</f>
        <v>#N/A</v>
      </c>
      <c r="N303" t="e">
        <f>IF($E303="Perfumería",$G303,NA())</f>
        <v>#N/A</v>
      </c>
      <c r="O303" t="e">
        <f>IF($E303="Perfumería",$H303,NA())</f>
        <v>#N/A</v>
      </c>
      <c r="P303" t="e">
        <f>IF($E303="Cuidado Facial",$G303,NA())</f>
        <v>#N/A</v>
      </c>
      <c r="Q303" t="e">
        <f>IF($E303="Cuidado Facial",$H303,NA())</f>
        <v>#N/A</v>
      </c>
      <c r="R303" s="8">
        <f>IF($E303="Capilar",$G303,NA())</f>
        <v>972.56</v>
      </c>
      <c r="S303" s="8">
        <f>IF($E303="Capilar",$H303,NA())</f>
        <v>460.16</v>
      </c>
      <c r="T303" s="6" t="str">
        <f t="shared" si="4"/>
        <v>Enero</v>
      </c>
    </row>
    <row r="304" spans="1:20" ht="15" customHeight="1" x14ac:dyDescent="0.25">
      <c r="A304" s="5">
        <v>46201</v>
      </c>
      <c r="B304" s="6" t="s">
        <v>34</v>
      </c>
      <c r="C304" s="6" t="s">
        <v>35</v>
      </c>
      <c r="D304" s="6" t="s">
        <v>45</v>
      </c>
      <c r="E304" s="6" t="s">
        <v>43</v>
      </c>
      <c r="F304" s="6">
        <v>11</v>
      </c>
      <c r="G304" s="7">
        <v>1134.3</v>
      </c>
      <c r="H304" s="7">
        <v>557.01</v>
      </c>
      <c r="I304" s="7">
        <v>12477.3</v>
      </c>
      <c r="J304" s="7">
        <v>6127.11</v>
      </c>
      <c r="K304" s="7">
        <v>6350.19</v>
      </c>
      <c r="L304" t="e">
        <f>IF($E304="Maquillaje",$G304,NA())</f>
        <v>#N/A</v>
      </c>
      <c r="M304" t="e">
        <f>IF($E304="Maquillaje",$H304,NA())</f>
        <v>#N/A</v>
      </c>
      <c r="N304" t="e">
        <f>IF($E304="Perfumería",$G304,NA())</f>
        <v>#N/A</v>
      </c>
      <c r="O304" t="e">
        <f>IF($E304="Perfumería",$H304,NA())</f>
        <v>#N/A</v>
      </c>
      <c r="P304" t="e">
        <f>IF($E304="Cuidado Facial",$G304,NA())</f>
        <v>#N/A</v>
      </c>
      <c r="Q304" t="e">
        <f>IF($E304="Cuidado Facial",$H304,NA())</f>
        <v>#N/A</v>
      </c>
      <c r="R304" s="8">
        <f>IF($E304="Capilar",$G304,NA())</f>
        <v>1134.3</v>
      </c>
      <c r="S304" s="8">
        <f>IF($E304="Capilar",$H304,NA())</f>
        <v>557.01</v>
      </c>
      <c r="T304" s="6" t="str">
        <f t="shared" si="4"/>
        <v>Junio</v>
      </c>
    </row>
    <row r="305" spans="1:20" ht="15" customHeight="1" x14ac:dyDescent="0.25">
      <c r="A305" s="5">
        <v>46145</v>
      </c>
      <c r="B305" s="6" t="s">
        <v>30</v>
      </c>
      <c r="C305" s="6" t="s">
        <v>35</v>
      </c>
      <c r="D305" s="6" t="s">
        <v>36</v>
      </c>
      <c r="E305" s="6" t="s">
        <v>37</v>
      </c>
      <c r="F305" s="6">
        <v>14</v>
      </c>
      <c r="G305" s="7">
        <v>1551.91</v>
      </c>
      <c r="H305" s="7">
        <v>768.3</v>
      </c>
      <c r="I305" s="7">
        <v>21726.74</v>
      </c>
      <c r="J305" s="7">
        <v>10756.2</v>
      </c>
      <c r="K305" s="7">
        <v>10970.54</v>
      </c>
      <c r="L305" s="8">
        <f>IF($E305="Maquillaje",$G305,NA())</f>
        <v>1551.91</v>
      </c>
      <c r="M305" s="8">
        <f>IF($E305="Maquillaje",$H305,NA())</f>
        <v>768.3</v>
      </c>
      <c r="N305" t="e">
        <f>IF($E305="Perfumería",$G305,NA())</f>
        <v>#N/A</v>
      </c>
      <c r="O305" t="e">
        <f>IF($E305="Perfumería",$H305,NA())</f>
        <v>#N/A</v>
      </c>
      <c r="P305" t="e">
        <f>IF($E305="Cuidado Facial",$G305,NA())</f>
        <v>#N/A</v>
      </c>
      <c r="Q305" t="e">
        <f>IF($E305="Cuidado Facial",$H305,NA())</f>
        <v>#N/A</v>
      </c>
      <c r="R305" t="e">
        <f>IF($E305="Capilar",$G305,NA())</f>
        <v>#N/A</v>
      </c>
      <c r="S305" t="e">
        <f>IF($E305="Capilar",$H305,NA())</f>
        <v>#N/A</v>
      </c>
      <c r="T305" s="6" t="str">
        <f t="shared" si="4"/>
        <v>Mayo</v>
      </c>
    </row>
    <row r="306" spans="1:20" ht="15" customHeight="1" x14ac:dyDescent="0.25">
      <c r="A306" s="5">
        <v>46257</v>
      </c>
      <c r="B306" s="6" t="s">
        <v>38</v>
      </c>
      <c r="C306" s="6" t="s">
        <v>31</v>
      </c>
      <c r="D306" s="6" t="s">
        <v>42</v>
      </c>
      <c r="E306" s="6" t="s">
        <v>43</v>
      </c>
      <c r="F306" s="6">
        <v>12</v>
      </c>
      <c r="G306" s="7">
        <v>1002.51</v>
      </c>
      <c r="H306" s="7">
        <v>492.62</v>
      </c>
      <c r="I306" s="7">
        <v>12030.12</v>
      </c>
      <c r="J306" s="7">
        <v>5911.44</v>
      </c>
      <c r="K306" s="7">
        <v>6118.68</v>
      </c>
      <c r="L306" t="e">
        <f>IF($E306="Maquillaje",$G306,NA())</f>
        <v>#N/A</v>
      </c>
      <c r="M306" t="e">
        <f>IF($E306="Maquillaje",$H306,NA())</f>
        <v>#N/A</v>
      </c>
      <c r="N306" t="e">
        <f>IF($E306="Perfumería",$G306,NA())</f>
        <v>#N/A</v>
      </c>
      <c r="O306" t="e">
        <f>IF($E306="Perfumería",$H306,NA())</f>
        <v>#N/A</v>
      </c>
      <c r="P306" t="e">
        <f>IF($E306="Cuidado Facial",$G306,NA())</f>
        <v>#N/A</v>
      </c>
      <c r="Q306" t="e">
        <f>IF($E306="Cuidado Facial",$H306,NA())</f>
        <v>#N/A</v>
      </c>
      <c r="R306" s="8">
        <f>IF($E306="Capilar",$G306,NA())</f>
        <v>1002.51</v>
      </c>
      <c r="S306" s="8">
        <f>IF($E306="Capilar",$H306,NA())</f>
        <v>492.62</v>
      </c>
      <c r="T306" s="6" t="str">
        <f t="shared" si="4"/>
        <v>Agosto</v>
      </c>
    </row>
    <row r="307" spans="1:20" ht="15" customHeight="1" x14ac:dyDescent="0.25">
      <c r="A307" s="5">
        <v>46029</v>
      </c>
      <c r="B307" s="6" t="s">
        <v>34</v>
      </c>
      <c r="C307" s="6" t="s">
        <v>35</v>
      </c>
      <c r="D307" s="6" t="s">
        <v>45</v>
      </c>
      <c r="E307" s="6" t="s">
        <v>43</v>
      </c>
      <c r="F307" s="6">
        <v>11</v>
      </c>
      <c r="G307" s="7">
        <v>1026.6199999999999</v>
      </c>
      <c r="H307" s="7">
        <v>610.17999999999995</v>
      </c>
      <c r="I307" s="7">
        <v>11292.82</v>
      </c>
      <c r="J307" s="7">
        <v>6711.98</v>
      </c>
      <c r="K307" s="7">
        <v>4580.84</v>
      </c>
      <c r="L307" t="e">
        <f>IF($E307="Maquillaje",$G307,NA())</f>
        <v>#N/A</v>
      </c>
      <c r="M307" t="e">
        <f>IF($E307="Maquillaje",$H307,NA())</f>
        <v>#N/A</v>
      </c>
      <c r="N307" t="e">
        <f>IF($E307="Perfumería",$G307,NA())</f>
        <v>#N/A</v>
      </c>
      <c r="O307" t="e">
        <f>IF($E307="Perfumería",$H307,NA())</f>
        <v>#N/A</v>
      </c>
      <c r="P307" t="e">
        <f>IF($E307="Cuidado Facial",$G307,NA())</f>
        <v>#N/A</v>
      </c>
      <c r="Q307" t="e">
        <f>IF($E307="Cuidado Facial",$H307,NA())</f>
        <v>#N/A</v>
      </c>
      <c r="R307" s="8">
        <f>IF($E307="Capilar",$G307,NA())</f>
        <v>1026.6199999999999</v>
      </c>
      <c r="S307" s="8">
        <f>IF($E307="Capilar",$H307,NA())</f>
        <v>610.17999999999995</v>
      </c>
      <c r="T307" s="6" t="str">
        <f t="shared" si="4"/>
        <v>Enero</v>
      </c>
    </row>
    <row r="308" spans="1:20" ht="15" customHeight="1" x14ac:dyDescent="0.25">
      <c r="A308" s="5">
        <v>46037</v>
      </c>
      <c r="B308" s="6" t="s">
        <v>30</v>
      </c>
      <c r="C308" s="6" t="s">
        <v>31</v>
      </c>
      <c r="D308" s="6" t="s">
        <v>47</v>
      </c>
      <c r="E308" s="6" t="s">
        <v>33</v>
      </c>
      <c r="F308" s="6">
        <v>2</v>
      </c>
      <c r="G308" s="7">
        <v>3262.63</v>
      </c>
      <c r="H308" s="7">
        <v>1662.37</v>
      </c>
      <c r="I308" s="7">
        <v>6525.26</v>
      </c>
      <c r="J308" s="7">
        <v>3324.74</v>
      </c>
      <c r="K308" s="7">
        <v>3200.52</v>
      </c>
      <c r="L308" t="e">
        <f>IF($E308="Maquillaje",$G308,NA())</f>
        <v>#N/A</v>
      </c>
      <c r="M308" t="e">
        <f>IF($E308="Maquillaje",$H308,NA())</f>
        <v>#N/A</v>
      </c>
      <c r="N308" s="8">
        <f>IF($E308="Perfumería",$G308,NA())</f>
        <v>3262.63</v>
      </c>
      <c r="O308" s="8">
        <f>IF($E308="Perfumería",$H308,NA())</f>
        <v>1662.37</v>
      </c>
      <c r="P308" t="e">
        <f>IF($E308="Cuidado Facial",$G308,NA())</f>
        <v>#N/A</v>
      </c>
      <c r="Q308" t="e">
        <f>IF($E308="Cuidado Facial",$H308,NA())</f>
        <v>#N/A</v>
      </c>
      <c r="R308" t="e">
        <f>IF($E308="Capilar",$G308,NA())</f>
        <v>#N/A</v>
      </c>
      <c r="S308" t="e">
        <f>IF($E308="Capilar",$H308,NA())</f>
        <v>#N/A</v>
      </c>
      <c r="T308" s="6" t="str">
        <f t="shared" si="4"/>
        <v>Enero</v>
      </c>
    </row>
    <row r="309" spans="1:20" ht="15" customHeight="1" x14ac:dyDescent="0.25">
      <c r="A309" s="5">
        <v>46030</v>
      </c>
      <c r="B309" s="6" t="s">
        <v>30</v>
      </c>
      <c r="C309" s="6" t="s">
        <v>48</v>
      </c>
      <c r="D309" s="6" t="s">
        <v>45</v>
      </c>
      <c r="E309" s="6" t="s">
        <v>43</v>
      </c>
      <c r="F309" s="6">
        <v>9</v>
      </c>
      <c r="G309" s="7">
        <v>1141.26</v>
      </c>
      <c r="H309" s="7">
        <v>534.63</v>
      </c>
      <c r="I309" s="7">
        <v>10271.34</v>
      </c>
      <c r="J309" s="7">
        <v>4811.67</v>
      </c>
      <c r="K309" s="7">
        <v>5459.67</v>
      </c>
      <c r="L309" t="e">
        <f>IF($E309="Maquillaje",$G309,NA())</f>
        <v>#N/A</v>
      </c>
      <c r="M309" t="e">
        <f>IF($E309="Maquillaje",$H309,NA())</f>
        <v>#N/A</v>
      </c>
      <c r="N309" t="e">
        <f>IF($E309="Perfumería",$G309,NA())</f>
        <v>#N/A</v>
      </c>
      <c r="O309" t="e">
        <f>IF($E309="Perfumería",$H309,NA())</f>
        <v>#N/A</v>
      </c>
      <c r="P309" t="e">
        <f>IF($E309="Cuidado Facial",$G309,NA())</f>
        <v>#N/A</v>
      </c>
      <c r="Q309" t="e">
        <f>IF($E309="Cuidado Facial",$H309,NA())</f>
        <v>#N/A</v>
      </c>
      <c r="R309" s="8">
        <f>IF($E309="Capilar",$G309,NA())</f>
        <v>1141.26</v>
      </c>
      <c r="S309" s="8">
        <f>IF($E309="Capilar",$H309,NA())</f>
        <v>534.63</v>
      </c>
      <c r="T309" s="6" t="str">
        <f t="shared" si="4"/>
        <v>Enero</v>
      </c>
    </row>
    <row r="310" spans="1:20" ht="15" customHeight="1" x14ac:dyDescent="0.25">
      <c r="A310" s="5">
        <v>46178</v>
      </c>
      <c r="B310" s="6" t="s">
        <v>46</v>
      </c>
      <c r="C310" s="6" t="s">
        <v>31</v>
      </c>
      <c r="D310" s="6" t="s">
        <v>36</v>
      </c>
      <c r="E310" s="6" t="s">
        <v>37</v>
      </c>
      <c r="F310" s="6">
        <v>6</v>
      </c>
      <c r="G310" s="7">
        <v>1398.58</v>
      </c>
      <c r="H310" s="7">
        <v>734.14</v>
      </c>
      <c r="I310" s="7">
        <v>8391.48</v>
      </c>
      <c r="J310" s="7">
        <v>4404.84</v>
      </c>
      <c r="K310" s="7">
        <v>3986.64</v>
      </c>
      <c r="L310" s="8">
        <f>IF($E310="Maquillaje",$G310,NA())</f>
        <v>1398.58</v>
      </c>
      <c r="M310" s="8">
        <f>IF($E310="Maquillaje",$H310,NA())</f>
        <v>734.14</v>
      </c>
      <c r="N310" t="e">
        <f>IF($E310="Perfumería",$G310,NA())</f>
        <v>#N/A</v>
      </c>
      <c r="O310" t="e">
        <f>IF($E310="Perfumería",$H310,NA())</f>
        <v>#N/A</v>
      </c>
      <c r="P310" t="e">
        <f>IF($E310="Cuidado Facial",$G310,NA())</f>
        <v>#N/A</v>
      </c>
      <c r="Q310" t="e">
        <f>IF($E310="Cuidado Facial",$H310,NA())</f>
        <v>#N/A</v>
      </c>
      <c r="R310" t="e">
        <f>IF($E310="Capilar",$G310,NA())</f>
        <v>#N/A</v>
      </c>
      <c r="S310" t="e">
        <f>IF($E310="Capilar",$H310,NA())</f>
        <v>#N/A</v>
      </c>
      <c r="T310" s="6" t="str">
        <f t="shared" si="4"/>
        <v>Junio</v>
      </c>
    </row>
    <row r="311" spans="1:20" ht="15" customHeight="1" x14ac:dyDescent="0.25">
      <c r="A311" s="5">
        <v>46129</v>
      </c>
      <c r="B311" s="6" t="s">
        <v>46</v>
      </c>
      <c r="C311" s="6" t="s">
        <v>31</v>
      </c>
      <c r="D311" s="6" t="s">
        <v>44</v>
      </c>
      <c r="E311" s="6" t="s">
        <v>37</v>
      </c>
      <c r="F311" s="6">
        <v>2</v>
      </c>
      <c r="G311" s="7">
        <v>1297.17</v>
      </c>
      <c r="H311" s="7">
        <v>605.54</v>
      </c>
      <c r="I311" s="7">
        <v>2594.34</v>
      </c>
      <c r="J311" s="7">
        <v>1211.08</v>
      </c>
      <c r="K311" s="7">
        <v>1383.26</v>
      </c>
      <c r="L311" s="8">
        <f>IF($E311="Maquillaje",$G311,NA())</f>
        <v>1297.17</v>
      </c>
      <c r="M311" s="8">
        <f>IF($E311="Maquillaje",$H311,NA())</f>
        <v>605.54</v>
      </c>
      <c r="N311" t="e">
        <f>IF($E311="Perfumería",$G311,NA())</f>
        <v>#N/A</v>
      </c>
      <c r="O311" t="e">
        <f>IF($E311="Perfumería",$H311,NA())</f>
        <v>#N/A</v>
      </c>
      <c r="P311" t="e">
        <f>IF($E311="Cuidado Facial",$G311,NA())</f>
        <v>#N/A</v>
      </c>
      <c r="Q311" t="e">
        <f>IF($E311="Cuidado Facial",$H311,NA())</f>
        <v>#N/A</v>
      </c>
      <c r="R311" t="e">
        <f>IF($E311="Capilar",$G311,NA())</f>
        <v>#N/A</v>
      </c>
      <c r="S311" t="e">
        <f>IF($E311="Capilar",$H311,NA())</f>
        <v>#N/A</v>
      </c>
      <c r="T311" s="6" t="str">
        <f t="shared" si="4"/>
        <v>Abril</v>
      </c>
    </row>
    <row r="312" spans="1:20" ht="15" customHeight="1" x14ac:dyDescent="0.25">
      <c r="A312" s="5">
        <v>46115</v>
      </c>
      <c r="B312" s="6" t="s">
        <v>34</v>
      </c>
      <c r="C312" s="6" t="s">
        <v>35</v>
      </c>
      <c r="D312" s="6" t="s">
        <v>42</v>
      </c>
      <c r="E312" s="6" t="s">
        <v>43</v>
      </c>
      <c r="F312" s="6">
        <v>11</v>
      </c>
      <c r="G312" s="7">
        <v>871.9</v>
      </c>
      <c r="H312" s="7">
        <v>488.03</v>
      </c>
      <c r="I312" s="7">
        <v>9590.9</v>
      </c>
      <c r="J312" s="7">
        <v>5368.33</v>
      </c>
      <c r="K312" s="7">
        <v>4222.57</v>
      </c>
      <c r="L312" t="e">
        <f>IF($E312="Maquillaje",$G312,NA())</f>
        <v>#N/A</v>
      </c>
      <c r="M312" t="e">
        <f>IF($E312="Maquillaje",$H312,NA())</f>
        <v>#N/A</v>
      </c>
      <c r="N312" t="e">
        <f>IF($E312="Perfumería",$G312,NA())</f>
        <v>#N/A</v>
      </c>
      <c r="O312" t="e">
        <f>IF($E312="Perfumería",$H312,NA())</f>
        <v>#N/A</v>
      </c>
      <c r="P312" t="e">
        <f>IF($E312="Cuidado Facial",$G312,NA())</f>
        <v>#N/A</v>
      </c>
      <c r="Q312" t="e">
        <f>IF($E312="Cuidado Facial",$H312,NA())</f>
        <v>#N/A</v>
      </c>
      <c r="R312" s="8">
        <f>IF($E312="Capilar",$G312,NA())</f>
        <v>871.9</v>
      </c>
      <c r="S312" s="8">
        <f>IF($E312="Capilar",$H312,NA())</f>
        <v>488.03</v>
      </c>
      <c r="T312" s="6" t="str">
        <f t="shared" si="4"/>
        <v>Abril</v>
      </c>
    </row>
    <row r="313" spans="1:20" ht="15" customHeight="1" x14ac:dyDescent="0.25">
      <c r="A313" s="5">
        <v>46089</v>
      </c>
      <c r="B313" s="6" t="s">
        <v>34</v>
      </c>
      <c r="C313" s="6" t="s">
        <v>35</v>
      </c>
      <c r="D313" s="6" t="s">
        <v>47</v>
      </c>
      <c r="E313" s="6" t="s">
        <v>33</v>
      </c>
      <c r="F313" s="6">
        <v>13</v>
      </c>
      <c r="G313" s="7">
        <v>3351.79</v>
      </c>
      <c r="H313" s="7">
        <v>1558.55</v>
      </c>
      <c r="I313" s="7">
        <v>43573.27</v>
      </c>
      <c r="J313" s="7">
        <v>20261.150000000001</v>
      </c>
      <c r="K313" s="7">
        <v>23312.12</v>
      </c>
      <c r="L313" t="e">
        <f>IF($E313="Maquillaje",$G313,NA())</f>
        <v>#N/A</v>
      </c>
      <c r="M313" t="e">
        <f>IF($E313="Maquillaje",$H313,NA())</f>
        <v>#N/A</v>
      </c>
      <c r="N313">
        <f>IF($E313="Perfumería",$G313,NA())</f>
        <v>3351.79</v>
      </c>
      <c r="O313">
        <f>IF($E313="Perfumería",$H313,NA())</f>
        <v>1558.55</v>
      </c>
      <c r="P313" t="e">
        <f>IF($E313="Cuidado Facial",$G313,NA())</f>
        <v>#N/A</v>
      </c>
      <c r="Q313" t="e">
        <f>IF($E313="Cuidado Facial",$H313,NA())</f>
        <v>#N/A</v>
      </c>
      <c r="R313" t="e">
        <f>IF($E313="Capilar",$G313,NA())</f>
        <v>#N/A</v>
      </c>
      <c r="S313" t="e">
        <f>IF($E313="Capilar",$H313,NA())</f>
        <v>#N/A</v>
      </c>
      <c r="T313" s="6" t="str">
        <f t="shared" si="4"/>
        <v>Marzo</v>
      </c>
    </row>
    <row r="314" spans="1:20" ht="15" customHeight="1" x14ac:dyDescent="0.25">
      <c r="A314" s="5">
        <v>46107</v>
      </c>
      <c r="B314" s="6" t="s">
        <v>34</v>
      </c>
      <c r="C314" s="6" t="s">
        <v>35</v>
      </c>
      <c r="D314" s="6" t="s">
        <v>32</v>
      </c>
      <c r="E314" s="6" t="s">
        <v>33</v>
      </c>
      <c r="F314" s="6">
        <v>13</v>
      </c>
      <c r="G314" s="7">
        <v>3321.24</v>
      </c>
      <c r="H314" s="7">
        <v>1702.87</v>
      </c>
      <c r="I314" s="7">
        <v>43176.12</v>
      </c>
      <c r="J314" s="7">
        <v>22137.31</v>
      </c>
      <c r="K314" s="7">
        <v>21038.81</v>
      </c>
      <c r="L314" t="e">
        <f>IF($E314="Maquillaje",$G314,NA())</f>
        <v>#N/A</v>
      </c>
      <c r="M314" t="e">
        <f>IF($E314="Maquillaje",$H314,NA())</f>
        <v>#N/A</v>
      </c>
      <c r="N314" s="8">
        <f>IF($E314="Perfumería",$G314,NA())</f>
        <v>3321.24</v>
      </c>
      <c r="O314" s="8">
        <f>IF($E314="Perfumería",$H314,NA())</f>
        <v>1702.87</v>
      </c>
      <c r="P314" t="e">
        <f>IF($E314="Cuidado Facial",$G314,NA())</f>
        <v>#N/A</v>
      </c>
      <c r="Q314" t="e">
        <f>IF($E314="Cuidado Facial",$H314,NA())</f>
        <v>#N/A</v>
      </c>
      <c r="R314" t="e">
        <f>IF($E314="Capilar",$G314,NA())</f>
        <v>#N/A</v>
      </c>
      <c r="S314" t="e">
        <f>IF($E314="Capilar",$H314,NA())</f>
        <v>#N/A</v>
      </c>
      <c r="T314" s="6" t="str">
        <f t="shared" si="4"/>
        <v>Marzo</v>
      </c>
    </row>
    <row r="315" spans="1:20" ht="15" customHeight="1" x14ac:dyDescent="0.25">
      <c r="A315" s="5">
        <v>46048</v>
      </c>
      <c r="B315" s="6" t="s">
        <v>34</v>
      </c>
      <c r="C315" s="6" t="s">
        <v>35</v>
      </c>
      <c r="D315" s="6" t="s">
        <v>39</v>
      </c>
      <c r="E315" s="6" t="s">
        <v>40</v>
      </c>
      <c r="F315" s="6">
        <v>8</v>
      </c>
      <c r="G315" s="7">
        <v>2074.1</v>
      </c>
      <c r="H315" s="7">
        <v>969.33</v>
      </c>
      <c r="I315" s="7">
        <v>16592.8</v>
      </c>
      <c r="J315" s="7">
        <v>7754.64</v>
      </c>
      <c r="K315" s="7">
        <v>8838.16</v>
      </c>
      <c r="L315" t="e">
        <f>IF($E315="Maquillaje",$G315,NA())</f>
        <v>#N/A</v>
      </c>
      <c r="M315" t="e">
        <f>IF($E315="Maquillaje",$H315,NA())</f>
        <v>#N/A</v>
      </c>
      <c r="N315" t="e">
        <f>IF($E315="Perfumería",$G315,NA())</f>
        <v>#N/A</v>
      </c>
      <c r="O315" t="e">
        <f>IF($E315="Perfumería",$H315,NA())</f>
        <v>#N/A</v>
      </c>
      <c r="P315" s="8">
        <f>IF($E315="Cuidado Facial",$G315,NA())</f>
        <v>2074.1</v>
      </c>
      <c r="Q315" s="8">
        <f>IF($E315="Cuidado Facial",$H315,NA())</f>
        <v>969.33</v>
      </c>
      <c r="R315" t="e">
        <f>IF($E315="Capilar",$G315,NA())</f>
        <v>#N/A</v>
      </c>
      <c r="S315" t="e">
        <f>IF($E315="Capilar",$H315,NA())</f>
        <v>#N/A</v>
      </c>
      <c r="T315" s="6" t="str">
        <f t="shared" si="4"/>
        <v>Enero</v>
      </c>
    </row>
    <row r="316" spans="1:20" ht="15" customHeight="1" x14ac:dyDescent="0.25">
      <c r="A316" s="5">
        <v>46083</v>
      </c>
      <c r="B316" s="6" t="s">
        <v>30</v>
      </c>
      <c r="C316" s="6" t="s">
        <v>48</v>
      </c>
      <c r="D316" s="6" t="s">
        <v>45</v>
      </c>
      <c r="E316" s="6" t="s">
        <v>43</v>
      </c>
      <c r="F316" s="6">
        <v>2</v>
      </c>
      <c r="G316" s="7">
        <v>1031.97</v>
      </c>
      <c r="H316" s="7">
        <v>533.79999999999995</v>
      </c>
      <c r="I316" s="7">
        <v>2063.94</v>
      </c>
      <c r="J316" s="7">
        <v>1067.5999999999999</v>
      </c>
      <c r="K316" s="7">
        <v>996.34</v>
      </c>
      <c r="L316" t="e">
        <f>IF($E316="Maquillaje",$G316,NA())</f>
        <v>#N/A</v>
      </c>
      <c r="M316" t="e">
        <f>IF($E316="Maquillaje",$H316,NA())</f>
        <v>#N/A</v>
      </c>
      <c r="N316" t="e">
        <f>IF($E316="Perfumería",$G316,NA())</f>
        <v>#N/A</v>
      </c>
      <c r="O316" t="e">
        <f>IF($E316="Perfumería",$H316,NA())</f>
        <v>#N/A</v>
      </c>
      <c r="P316" t="e">
        <f>IF($E316="Cuidado Facial",$G316,NA())</f>
        <v>#N/A</v>
      </c>
      <c r="Q316" t="e">
        <f>IF($E316="Cuidado Facial",$H316,NA())</f>
        <v>#N/A</v>
      </c>
      <c r="R316" s="8">
        <f>IF($E316="Capilar",$G316,NA())</f>
        <v>1031.97</v>
      </c>
      <c r="S316" s="8">
        <f>IF($E316="Capilar",$H316,NA())</f>
        <v>533.79999999999995</v>
      </c>
      <c r="T316" s="6" t="str">
        <f t="shared" si="4"/>
        <v>Marzo</v>
      </c>
    </row>
    <row r="317" spans="1:20" ht="15" customHeight="1" x14ac:dyDescent="0.25">
      <c r="A317" s="5">
        <v>46052</v>
      </c>
      <c r="B317" s="6" t="s">
        <v>30</v>
      </c>
      <c r="C317" s="6" t="s">
        <v>35</v>
      </c>
      <c r="D317" s="6" t="s">
        <v>42</v>
      </c>
      <c r="E317" s="6" t="s">
        <v>43</v>
      </c>
      <c r="F317" s="6">
        <v>1</v>
      </c>
      <c r="G317" s="7">
        <v>1034.3</v>
      </c>
      <c r="H317" s="7">
        <v>482.38</v>
      </c>
      <c r="I317" s="7">
        <v>1034.3</v>
      </c>
      <c r="J317" s="7">
        <v>482.38</v>
      </c>
      <c r="K317" s="7">
        <v>551.91999999999996</v>
      </c>
      <c r="L317" t="e">
        <f>IF($E317="Maquillaje",$G317,NA())</f>
        <v>#N/A</v>
      </c>
      <c r="M317" t="e">
        <f>IF($E317="Maquillaje",$H317,NA())</f>
        <v>#N/A</v>
      </c>
      <c r="N317" t="e">
        <f>IF($E317="Perfumería",$G317,NA())</f>
        <v>#N/A</v>
      </c>
      <c r="O317" t="e">
        <f>IF($E317="Perfumería",$H317,NA())</f>
        <v>#N/A</v>
      </c>
      <c r="P317" t="e">
        <f>IF($E317="Cuidado Facial",$G317,NA())</f>
        <v>#N/A</v>
      </c>
      <c r="Q317" t="e">
        <f>IF($E317="Cuidado Facial",$H317,NA())</f>
        <v>#N/A</v>
      </c>
      <c r="R317" s="8">
        <f>IF($E317="Capilar",$G317,NA())</f>
        <v>1034.3</v>
      </c>
      <c r="S317" s="8">
        <f>IF($E317="Capilar",$H317,NA())</f>
        <v>482.38</v>
      </c>
      <c r="T317" s="6" t="str">
        <f t="shared" si="4"/>
        <v>Enero</v>
      </c>
    </row>
    <row r="318" spans="1:20" ht="15" customHeight="1" x14ac:dyDescent="0.25">
      <c r="A318" s="5">
        <v>46131</v>
      </c>
      <c r="B318" s="6" t="s">
        <v>41</v>
      </c>
      <c r="C318" s="6" t="s">
        <v>35</v>
      </c>
      <c r="D318" s="6" t="s">
        <v>45</v>
      </c>
      <c r="E318" s="6" t="s">
        <v>43</v>
      </c>
      <c r="F318" s="6">
        <v>3</v>
      </c>
      <c r="G318" s="7">
        <v>1006.38</v>
      </c>
      <c r="H318" s="7">
        <v>554.74</v>
      </c>
      <c r="I318" s="7">
        <v>3019.14</v>
      </c>
      <c r="J318" s="7">
        <v>1664.22</v>
      </c>
      <c r="K318" s="7">
        <v>1354.92</v>
      </c>
      <c r="L318" t="e">
        <f>IF($E318="Maquillaje",$G318,NA())</f>
        <v>#N/A</v>
      </c>
      <c r="M318" t="e">
        <f>IF($E318="Maquillaje",$H318,NA())</f>
        <v>#N/A</v>
      </c>
      <c r="N318" t="e">
        <f>IF($E318="Perfumería",$G318,NA())</f>
        <v>#N/A</v>
      </c>
      <c r="O318" t="e">
        <f>IF($E318="Perfumería",$H318,NA())</f>
        <v>#N/A</v>
      </c>
      <c r="P318" t="e">
        <f>IF($E318="Cuidado Facial",$G318,NA())</f>
        <v>#N/A</v>
      </c>
      <c r="Q318" t="e">
        <f>IF($E318="Cuidado Facial",$H318,NA())</f>
        <v>#N/A</v>
      </c>
      <c r="R318" s="8">
        <f>IF($E318="Capilar",$G318,NA())</f>
        <v>1006.38</v>
      </c>
      <c r="S318" s="8">
        <f>IF($E318="Capilar",$H318,NA())</f>
        <v>554.74</v>
      </c>
      <c r="T318" s="6" t="str">
        <f t="shared" si="4"/>
        <v>Abril</v>
      </c>
    </row>
    <row r="319" spans="1:20" ht="15" customHeight="1" x14ac:dyDescent="0.25">
      <c r="A319" s="5">
        <v>46039</v>
      </c>
      <c r="B319" s="6" t="s">
        <v>30</v>
      </c>
      <c r="C319" s="6" t="s">
        <v>31</v>
      </c>
      <c r="D319" s="6" t="s">
        <v>47</v>
      </c>
      <c r="E319" s="6" t="s">
        <v>33</v>
      </c>
      <c r="F319" s="6">
        <v>6</v>
      </c>
      <c r="G319" s="7">
        <v>2972.82</v>
      </c>
      <c r="H319" s="7">
        <v>1697.16</v>
      </c>
      <c r="I319" s="7">
        <v>17836.919999999998</v>
      </c>
      <c r="J319" s="7">
        <v>10182.959999999999</v>
      </c>
      <c r="K319" s="7">
        <v>7653.96</v>
      </c>
      <c r="L319" t="e">
        <f>IF($E319="Maquillaje",$G319,NA())</f>
        <v>#N/A</v>
      </c>
      <c r="M319" t="e">
        <f>IF($E319="Maquillaje",$H319,NA())</f>
        <v>#N/A</v>
      </c>
      <c r="N319" s="8">
        <f>IF($E319="Perfumería",$G319,NA())</f>
        <v>2972.82</v>
      </c>
      <c r="O319" s="8">
        <f>IF($E319="Perfumería",$H319,NA())</f>
        <v>1697.16</v>
      </c>
      <c r="P319" t="e">
        <f>IF($E319="Cuidado Facial",$G319,NA())</f>
        <v>#N/A</v>
      </c>
      <c r="Q319" t="e">
        <f>IF($E319="Cuidado Facial",$H319,NA())</f>
        <v>#N/A</v>
      </c>
      <c r="R319" t="e">
        <f>IF($E319="Capilar",$G319,NA())</f>
        <v>#N/A</v>
      </c>
      <c r="S319" t="e">
        <f>IF($E319="Capilar",$H319,NA())</f>
        <v>#N/A</v>
      </c>
      <c r="T319" s="6" t="str">
        <f t="shared" si="4"/>
        <v>Enero</v>
      </c>
    </row>
    <row r="320" spans="1:20" ht="15" customHeight="1" x14ac:dyDescent="0.25">
      <c r="A320" s="5">
        <v>46211</v>
      </c>
      <c r="B320" s="6" t="s">
        <v>38</v>
      </c>
      <c r="C320" s="6" t="s">
        <v>31</v>
      </c>
      <c r="D320" s="6" t="s">
        <v>44</v>
      </c>
      <c r="E320" s="6" t="s">
        <v>37</v>
      </c>
      <c r="F320" s="6">
        <v>8</v>
      </c>
      <c r="G320" s="7">
        <v>1296.3800000000001</v>
      </c>
      <c r="H320" s="7">
        <v>595.66</v>
      </c>
      <c r="I320" s="7">
        <v>10371.040000000001</v>
      </c>
      <c r="J320" s="7">
        <v>4765.28</v>
      </c>
      <c r="K320" s="7">
        <v>5605.76</v>
      </c>
      <c r="L320" s="8">
        <f>IF($E320="Maquillaje",$G320,NA())</f>
        <v>1296.3800000000001</v>
      </c>
      <c r="M320" s="8">
        <f>IF($E320="Maquillaje",$H320,NA())</f>
        <v>595.66</v>
      </c>
      <c r="N320" t="e">
        <f>IF($E320="Perfumería",$G320,NA())</f>
        <v>#N/A</v>
      </c>
      <c r="O320" t="e">
        <f>IF($E320="Perfumería",$H320,NA())</f>
        <v>#N/A</v>
      </c>
      <c r="P320" t="e">
        <f>IF($E320="Cuidado Facial",$G320,NA())</f>
        <v>#N/A</v>
      </c>
      <c r="Q320" t="e">
        <f>IF($E320="Cuidado Facial",$H320,NA())</f>
        <v>#N/A</v>
      </c>
      <c r="R320" t="e">
        <f>IF($E320="Capilar",$G320,NA())</f>
        <v>#N/A</v>
      </c>
      <c r="S320" t="e">
        <f>IF($E320="Capilar",$H320,NA())</f>
        <v>#N/A</v>
      </c>
      <c r="T320" s="6" t="str">
        <f t="shared" si="4"/>
        <v>Julio</v>
      </c>
    </row>
    <row r="321" spans="1:20" ht="15" customHeight="1" x14ac:dyDescent="0.25">
      <c r="A321" s="5">
        <v>46094</v>
      </c>
      <c r="B321" s="6" t="s">
        <v>34</v>
      </c>
      <c r="C321" s="6" t="s">
        <v>35</v>
      </c>
      <c r="D321" s="6" t="s">
        <v>36</v>
      </c>
      <c r="E321" s="6" t="s">
        <v>37</v>
      </c>
      <c r="F321" s="6">
        <v>1</v>
      </c>
      <c r="G321" s="7">
        <v>1501.94</v>
      </c>
      <c r="H321" s="7">
        <v>703.97</v>
      </c>
      <c r="I321" s="7">
        <v>1501.94</v>
      </c>
      <c r="J321" s="7">
        <v>703.97</v>
      </c>
      <c r="K321" s="7">
        <v>797.97</v>
      </c>
      <c r="L321" s="8">
        <f>IF($E321="Maquillaje",$G321,NA())</f>
        <v>1501.94</v>
      </c>
      <c r="M321" s="8">
        <f>IF($E321="Maquillaje",$H321,NA())</f>
        <v>703.97</v>
      </c>
      <c r="N321" t="e">
        <f>IF($E321="Perfumería",$G321,NA())</f>
        <v>#N/A</v>
      </c>
      <c r="O321" t="e">
        <f>IF($E321="Perfumería",$H321,NA())</f>
        <v>#N/A</v>
      </c>
      <c r="P321" t="e">
        <f>IF($E321="Cuidado Facial",$G321,NA())</f>
        <v>#N/A</v>
      </c>
      <c r="Q321" t="e">
        <f>IF($E321="Cuidado Facial",$H321,NA())</f>
        <v>#N/A</v>
      </c>
      <c r="R321" t="e">
        <f>IF($E321="Capilar",$G321,NA())</f>
        <v>#N/A</v>
      </c>
      <c r="S321" t="e">
        <f>IF($E321="Capilar",$H321,NA())</f>
        <v>#N/A</v>
      </c>
      <c r="T321" s="6" t="str">
        <f t="shared" si="4"/>
        <v>Marzo</v>
      </c>
    </row>
    <row r="322" spans="1:20" ht="15" customHeight="1" x14ac:dyDescent="0.25">
      <c r="A322" s="5">
        <v>46284</v>
      </c>
      <c r="B322" s="6" t="s">
        <v>38</v>
      </c>
      <c r="C322" s="6" t="s">
        <v>31</v>
      </c>
      <c r="D322" s="6" t="s">
        <v>32</v>
      </c>
      <c r="E322" s="6" t="s">
        <v>33</v>
      </c>
      <c r="F322" s="6">
        <v>14</v>
      </c>
      <c r="G322" s="7">
        <v>3379.9</v>
      </c>
      <c r="H322" s="7">
        <v>1683.46</v>
      </c>
      <c r="I322" s="7">
        <v>47318.6</v>
      </c>
      <c r="J322" s="7">
        <v>23568.44</v>
      </c>
      <c r="K322" s="7">
        <v>23750.16</v>
      </c>
      <c r="L322" t="e">
        <f>IF($E322="Maquillaje",$G322,NA())</f>
        <v>#N/A</v>
      </c>
      <c r="M322" t="e">
        <f>IF($E322="Maquillaje",$H322,NA())</f>
        <v>#N/A</v>
      </c>
      <c r="N322" s="8">
        <f>IF($E322="Perfumería",$G322,NA())</f>
        <v>3379.9</v>
      </c>
      <c r="O322" s="8">
        <f>IF($E322="Perfumería",$H322,NA())</f>
        <v>1683.46</v>
      </c>
      <c r="P322" t="e">
        <f>IF($E322="Cuidado Facial",$G322,NA())</f>
        <v>#N/A</v>
      </c>
      <c r="Q322" t="e">
        <f>IF($E322="Cuidado Facial",$H322,NA())</f>
        <v>#N/A</v>
      </c>
      <c r="R322" t="e">
        <f>IF($E322="Capilar",$G322,NA())</f>
        <v>#N/A</v>
      </c>
      <c r="S322" t="e">
        <f>IF($E322="Capilar",$H322,NA())</f>
        <v>#N/A</v>
      </c>
      <c r="T322" s="6" t="str">
        <f t="shared" ref="T322:T385" si="5">CHOOSE(MONTH(A322),"Enero","Febrero","Marzo","Abril","Mayo","Junio","Julio","Agosto","Septiembre","Octubre","Noviembre","Diciembre")</f>
        <v>Septiembre</v>
      </c>
    </row>
    <row r="323" spans="1:20" ht="15" customHeight="1" x14ac:dyDescent="0.25">
      <c r="A323" s="5">
        <v>46187</v>
      </c>
      <c r="B323" s="6" t="s">
        <v>30</v>
      </c>
      <c r="C323" s="6" t="s">
        <v>48</v>
      </c>
      <c r="D323" s="6" t="s">
        <v>44</v>
      </c>
      <c r="E323" s="6" t="s">
        <v>37</v>
      </c>
      <c r="F323" s="6">
        <v>6</v>
      </c>
      <c r="G323" s="7">
        <v>1264.81</v>
      </c>
      <c r="H323" s="7">
        <v>616</v>
      </c>
      <c r="I323" s="7">
        <v>7588.86</v>
      </c>
      <c r="J323" s="7">
        <v>3696</v>
      </c>
      <c r="K323" s="7">
        <v>3892.86</v>
      </c>
      <c r="L323" s="8">
        <f>IF($E323="Maquillaje",$G323,NA())</f>
        <v>1264.81</v>
      </c>
      <c r="M323" s="8">
        <f>IF($E323="Maquillaje",$H323,NA())</f>
        <v>616</v>
      </c>
      <c r="N323" t="e">
        <f>IF($E323="Perfumería",$G323,NA())</f>
        <v>#N/A</v>
      </c>
      <c r="O323" t="e">
        <f>IF($E323="Perfumería",$H323,NA())</f>
        <v>#N/A</v>
      </c>
      <c r="P323" t="e">
        <f>IF($E323="Cuidado Facial",$G323,NA())</f>
        <v>#N/A</v>
      </c>
      <c r="Q323" t="e">
        <f>IF($E323="Cuidado Facial",$H323,NA())</f>
        <v>#N/A</v>
      </c>
      <c r="R323" t="e">
        <f>IF($E323="Capilar",$G323,NA())</f>
        <v>#N/A</v>
      </c>
      <c r="S323" t="e">
        <f>IF($E323="Capilar",$H323,NA())</f>
        <v>#N/A</v>
      </c>
      <c r="T323" s="6" t="str">
        <f t="shared" si="5"/>
        <v>Junio</v>
      </c>
    </row>
    <row r="324" spans="1:20" ht="15" customHeight="1" x14ac:dyDescent="0.25">
      <c r="A324" s="5">
        <v>46333</v>
      </c>
      <c r="B324" s="6" t="s">
        <v>38</v>
      </c>
      <c r="C324" s="6" t="s">
        <v>31</v>
      </c>
      <c r="D324" s="6" t="s">
        <v>39</v>
      </c>
      <c r="E324" s="6" t="s">
        <v>40</v>
      </c>
      <c r="F324" s="6">
        <v>9</v>
      </c>
      <c r="G324" s="7">
        <v>1940.63</v>
      </c>
      <c r="H324" s="7">
        <v>1146.6500000000001</v>
      </c>
      <c r="I324" s="7">
        <v>17465.669999999998</v>
      </c>
      <c r="J324" s="7">
        <v>10319.85</v>
      </c>
      <c r="K324" s="7">
        <v>7145.82</v>
      </c>
      <c r="L324" t="e">
        <f>IF($E324="Maquillaje",$G324,NA())</f>
        <v>#N/A</v>
      </c>
      <c r="M324" t="e">
        <f>IF($E324="Maquillaje",$H324,NA())</f>
        <v>#N/A</v>
      </c>
      <c r="N324" t="e">
        <f>IF($E324="Perfumería",$G324,NA())</f>
        <v>#N/A</v>
      </c>
      <c r="O324" t="e">
        <f>IF($E324="Perfumería",$H324,NA())</f>
        <v>#N/A</v>
      </c>
      <c r="P324" s="8">
        <f>IF($E324="Cuidado Facial",$G324,NA())</f>
        <v>1940.63</v>
      </c>
      <c r="Q324" s="8">
        <f>IF($E324="Cuidado Facial",$H324,NA())</f>
        <v>1146.6500000000001</v>
      </c>
      <c r="R324" t="e">
        <f>IF($E324="Capilar",$G324,NA())</f>
        <v>#N/A</v>
      </c>
      <c r="S324" t="e">
        <f>IF($E324="Capilar",$H324,NA())</f>
        <v>#N/A</v>
      </c>
      <c r="T324" s="6" t="str">
        <f t="shared" si="5"/>
        <v>Noviembre</v>
      </c>
    </row>
    <row r="325" spans="1:20" ht="15" customHeight="1" x14ac:dyDescent="0.25">
      <c r="A325" s="5">
        <v>46320</v>
      </c>
      <c r="B325" s="6" t="s">
        <v>30</v>
      </c>
      <c r="C325" s="6" t="s">
        <v>48</v>
      </c>
      <c r="D325" s="6" t="s">
        <v>42</v>
      </c>
      <c r="E325" s="6" t="s">
        <v>43</v>
      </c>
      <c r="F325" s="6">
        <v>2</v>
      </c>
      <c r="G325" s="7">
        <v>966.26</v>
      </c>
      <c r="H325" s="7">
        <v>475.43</v>
      </c>
      <c r="I325" s="7">
        <v>1932.52</v>
      </c>
      <c r="J325" s="7">
        <v>950.86</v>
      </c>
      <c r="K325" s="7">
        <v>981.66</v>
      </c>
      <c r="L325" t="e">
        <f>IF($E325="Maquillaje",$G325,NA())</f>
        <v>#N/A</v>
      </c>
      <c r="M325" t="e">
        <f>IF($E325="Maquillaje",$H325,NA())</f>
        <v>#N/A</v>
      </c>
      <c r="N325" t="e">
        <f>IF($E325="Perfumería",$G325,NA())</f>
        <v>#N/A</v>
      </c>
      <c r="O325" t="e">
        <f>IF($E325="Perfumería",$H325,NA())</f>
        <v>#N/A</v>
      </c>
      <c r="P325" t="e">
        <f>IF($E325="Cuidado Facial",$G325,NA())</f>
        <v>#N/A</v>
      </c>
      <c r="Q325" t="e">
        <f>IF($E325="Cuidado Facial",$H325,NA())</f>
        <v>#N/A</v>
      </c>
      <c r="R325" s="8">
        <f>IF($E325="Capilar",$G325,NA())</f>
        <v>966.26</v>
      </c>
      <c r="S325" s="8">
        <f>IF($E325="Capilar",$H325,NA())</f>
        <v>475.43</v>
      </c>
      <c r="T325" s="6" t="str">
        <f t="shared" si="5"/>
        <v>Octubre</v>
      </c>
    </row>
    <row r="326" spans="1:20" ht="15" customHeight="1" x14ac:dyDescent="0.25">
      <c r="A326" s="5">
        <v>46100</v>
      </c>
      <c r="B326" s="6" t="s">
        <v>34</v>
      </c>
      <c r="C326" s="6" t="s">
        <v>35</v>
      </c>
      <c r="D326" s="6" t="s">
        <v>44</v>
      </c>
      <c r="E326" s="6" t="s">
        <v>37</v>
      </c>
      <c r="F326" s="6">
        <v>15</v>
      </c>
      <c r="G326" s="7">
        <v>1276.7</v>
      </c>
      <c r="H326" s="7">
        <v>710.77</v>
      </c>
      <c r="I326" s="7">
        <v>19150.5</v>
      </c>
      <c r="J326" s="7">
        <v>10661.55</v>
      </c>
      <c r="K326" s="7">
        <v>8488.9500000000007</v>
      </c>
      <c r="L326" s="8">
        <f>IF($E326="Maquillaje",$G326,NA())</f>
        <v>1276.7</v>
      </c>
      <c r="M326" s="8">
        <f>IF($E326="Maquillaje",$H326,NA())</f>
        <v>710.77</v>
      </c>
      <c r="N326" t="e">
        <f>IF($E326="Perfumería",$G326,NA())</f>
        <v>#N/A</v>
      </c>
      <c r="O326" t="e">
        <f>IF($E326="Perfumería",$H326,NA())</f>
        <v>#N/A</v>
      </c>
      <c r="P326" t="e">
        <f>IF($E326="Cuidado Facial",$G326,NA())</f>
        <v>#N/A</v>
      </c>
      <c r="Q326" t="e">
        <f>IF($E326="Cuidado Facial",$H326,NA())</f>
        <v>#N/A</v>
      </c>
      <c r="R326" t="e">
        <f>IF($E326="Capilar",$G326,NA())</f>
        <v>#N/A</v>
      </c>
      <c r="S326" t="e">
        <f>IF($E326="Capilar",$H326,NA())</f>
        <v>#N/A</v>
      </c>
      <c r="T326" s="6" t="str">
        <f t="shared" si="5"/>
        <v>Marzo</v>
      </c>
    </row>
    <row r="327" spans="1:20" ht="15" customHeight="1" x14ac:dyDescent="0.25">
      <c r="A327" s="5">
        <v>46112</v>
      </c>
      <c r="B327" s="6" t="s">
        <v>41</v>
      </c>
      <c r="C327" s="6" t="s">
        <v>35</v>
      </c>
      <c r="D327" s="6" t="s">
        <v>39</v>
      </c>
      <c r="E327" s="6" t="s">
        <v>40</v>
      </c>
      <c r="F327" s="6">
        <v>11</v>
      </c>
      <c r="G327" s="7">
        <v>2186.39</v>
      </c>
      <c r="H327" s="7">
        <v>1067.45</v>
      </c>
      <c r="I327" s="7">
        <v>24050.29</v>
      </c>
      <c r="J327" s="7">
        <v>11741.95</v>
      </c>
      <c r="K327" s="7">
        <v>12308.34</v>
      </c>
      <c r="L327" t="e">
        <f>IF($E327="Maquillaje",$G327,NA())</f>
        <v>#N/A</v>
      </c>
      <c r="M327" t="e">
        <f>IF($E327="Maquillaje",$H327,NA())</f>
        <v>#N/A</v>
      </c>
      <c r="N327" t="e">
        <f>IF($E327="Perfumería",$G327,NA())</f>
        <v>#N/A</v>
      </c>
      <c r="O327" t="e">
        <f>IF($E327="Perfumería",$H327,NA())</f>
        <v>#N/A</v>
      </c>
      <c r="P327" s="8">
        <f>IF($E327="Cuidado Facial",$G327,NA())</f>
        <v>2186.39</v>
      </c>
      <c r="Q327" s="8">
        <f>IF($E327="Cuidado Facial",$H327,NA())</f>
        <v>1067.45</v>
      </c>
      <c r="R327" t="e">
        <f>IF($E327="Capilar",$G327,NA())</f>
        <v>#N/A</v>
      </c>
      <c r="S327" t="e">
        <f>IF($E327="Capilar",$H327,NA())</f>
        <v>#N/A</v>
      </c>
      <c r="T327" s="6" t="str">
        <f t="shared" si="5"/>
        <v>Marzo</v>
      </c>
    </row>
    <row r="328" spans="1:20" ht="15" customHeight="1" x14ac:dyDescent="0.25">
      <c r="A328" s="5">
        <v>46371</v>
      </c>
      <c r="B328" s="6" t="s">
        <v>46</v>
      </c>
      <c r="C328" s="6" t="s">
        <v>31</v>
      </c>
      <c r="D328" s="6" t="s">
        <v>36</v>
      </c>
      <c r="E328" s="6" t="s">
        <v>37</v>
      </c>
      <c r="F328" s="6">
        <v>15</v>
      </c>
      <c r="G328" s="7">
        <v>1378.47</v>
      </c>
      <c r="H328" s="7">
        <v>761.59</v>
      </c>
      <c r="I328" s="7">
        <v>20677.05</v>
      </c>
      <c r="J328" s="7">
        <v>11423.85</v>
      </c>
      <c r="K328" s="7">
        <v>9253.2000000000007</v>
      </c>
      <c r="L328" s="8">
        <f>IF($E328="Maquillaje",$G328,NA())</f>
        <v>1378.47</v>
      </c>
      <c r="M328" s="8">
        <f>IF($E328="Maquillaje",$H328,NA())</f>
        <v>761.59</v>
      </c>
      <c r="N328" t="e">
        <f>IF($E328="Perfumería",$G328,NA())</f>
        <v>#N/A</v>
      </c>
      <c r="O328" t="e">
        <f>IF($E328="Perfumería",$H328,NA())</f>
        <v>#N/A</v>
      </c>
      <c r="P328" t="e">
        <f>IF($E328="Cuidado Facial",$G328,NA())</f>
        <v>#N/A</v>
      </c>
      <c r="Q328" t="e">
        <f>IF($E328="Cuidado Facial",$H328,NA())</f>
        <v>#N/A</v>
      </c>
      <c r="R328" t="e">
        <f>IF($E328="Capilar",$G328,NA())</f>
        <v>#N/A</v>
      </c>
      <c r="S328" t="e">
        <f>IF($E328="Capilar",$H328,NA())</f>
        <v>#N/A</v>
      </c>
      <c r="T328" s="6" t="str">
        <f t="shared" si="5"/>
        <v>Diciembre</v>
      </c>
    </row>
    <row r="329" spans="1:20" ht="15" customHeight="1" x14ac:dyDescent="0.25">
      <c r="A329" s="5">
        <v>46370</v>
      </c>
      <c r="B329" s="6" t="s">
        <v>46</v>
      </c>
      <c r="C329" s="6" t="s">
        <v>31</v>
      </c>
      <c r="D329" s="6" t="s">
        <v>49</v>
      </c>
      <c r="E329" s="6" t="s">
        <v>40</v>
      </c>
      <c r="F329" s="6">
        <v>7</v>
      </c>
      <c r="G329" s="7">
        <v>1652.02</v>
      </c>
      <c r="H329" s="7">
        <v>984.77</v>
      </c>
      <c r="I329" s="7">
        <v>11564.14</v>
      </c>
      <c r="J329" s="7">
        <v>6893.39</v>
      </c>
      <c r="K329" s="7">
        <v>4670.75</v>
      </c>
      <c r="L329" t="e">
        <f>IF($E329="Maquillaje",$G329,NA())</f>
        <v>#N/A</v>
      </c>
      <c r="M329" t="e">
        <f>IF($E329="Maquillaje",$H329,NA())</f>
        <v>#N/A</v>
      </c>
      <c r="N329" t="e">
        <f>IF($E329="Perfumería",$G329,NA())</f>
        <v>#N/A</v>
      </c>
      <c r="O329" t="e">
        <f>IF($E329="Perfumería",$H329,NA())</f>
        <v>#N/A</v>
      </c>
      <c r="P329" s="8">
        <f>IF($E329="Cuidado Facial",$G329,NA())</f>
        <v>1652.02</v>
      </c>
      <c r="Q329" s="8">
        <f>IF($E329="Cuidado Facial",$H329,NA())</f>
        <v>984.77</v>
      </c>
      <c r="R329" t="e">
        <f>IF($E329="Capilar",$G329,NA())</f>
        <v>#N/A</v>
      </c>
      <c r="S329" t="e">
        <f>IF($E329="Capilar",$H329,NA())</f>
        <v>#N/A</v>
      </c>
      <c r="T329" s="6" t="str">
        <f t="shared" si="5"/>
        <v>Diciembre</v>
      </c>
    </row>
    <row r="330" spans="1:20" ht="15" customHeight="1" x14ac:dyDescent="0.25">
      <c r="A330" s="5">
        <v>46142</v>
      </c>
      <c r="B330" s="6" t="s">
        <v>46</v>
      </c>
      <c r="C330" s="6" t="s">
        <v>31</v>
      </c>
      <c r="D330" s="6" t="s">
        <v>45</v>
      </c>
      <c r="E330" s="6" t="s">
        <v>43</v>
      </c>
      <c r="F330" s="6">
        <v>3</v>
      </c>
      <c r="G330" s="7">
        <v>1209.49</v>
      </c>
      <c r="H330" s="7">
        <v>575.66</v>
      </c>
      <c r="I330" s="7">
        <v>3628.47</v>
      </c>
      <c r="J330" s="7">
        <v>1726.98</v>
      </c>
      <c r="K330" s="7">
        <v>1901.49</v>
      </c>
      <c r="L330" t="e">
        <f>IF($E330="Maquillaje",$G330,NA())</f>
        <v>#N/A</v>
      </c>
      <c r="M330" t="e">
        <f>IF($E330="Maquillaje",$H330,NA())</f>
        <v>#N/A</v>
      </c>
      <c r="N330" t="e">
        <f>IF($E330="Perfumería",$G330,NA())</f>
        <v>#N/A</v>
      </c>
      <c r="O330" t="e">
        <f>IF($E330="Perfumería",$H330,NA())</f>
        <v>#N/A</v>
      </c>
      <c r="P330" t="e">
        <f>IF($E330="Cuidado Facial",$G330,NA())</f>
        <v>#N/A</v>
      </c>
      <c r="Q330" t="e">
        <f>IF($E330="Cuidado Facial",$H330,NA())</f>
        <v>#N/A</v>
      </c>
      <c r="R330" s="8">
        <f>IF($E330="Capilar",$G330,NA())</f>
        <v>1209.49</v>
      </c>
      <c r="S330" s="8">
        <f>IF($E330="Capilar",$H330,NA())</f>
        <v>575.66</v>
      </c>
      <c r="T330" s="6" t="str">
        <f t="shared" si="5"/>
        <v>Abril</v>
      </c>
    </row>
    <row r="331" spans="1:20" ht="15" customHeight="1" x14ac:dyDescent="0.25">
      <c r="A331" s="5">
        <v>46230</v>
      </c>
      <c r="B331" s="6" t="s">
        <v>46</v>
      </c>
      <c r="C331" s="6" t="s">
        <v>31</v>
      </c>
      <c r="D331" s="6" t="s">
        <v>45</v>
      </c>
      <c r="E331" s="6" t="s">
        <v>43</v>
      </c>
      <c r="F331" s="6">
        <v>10</v>
      </c>
      <c r="G331" s="7">
        <v>1109.44</v>
      </c>
      <c r="H331" s="7">
        <v>542.65</v>
      </c>
      <c r="I331" s="7">
        <v>11094.4</v>
      </c>
      <c r="J331" s="7">
        <v>5426.5</v>
      </c>
      <c r="K331" s="7">
        <v>5667.9</v>
      </c>
      <c r="L331" t="e">
        <f>IF($E331="Maquillaje",$G331,NA())</f>
        <v>#N/A</v>
      </c>
      <c r="M331" t="e">
        <f>IF($E331="Maquillaje",$H331,NA())</f>
        <v>#N/A</v>
      </c>
      <c r="N331" t="e">
        <f>IF($E331="Perfumería",$G331,NA())</f>
        <v>#N/A</v>
      </c>
      <c r="O331" t="e">
        <f>IF($E331="Perfumería",$H331,NA())</f>
        <v>#N/A</v>
      </c>
      <c r="P331" t="e">
        <f>IF($E331="Cuidado Facial",$G331,NA())</f>
        <v>#N/A</v>
      </c>
      <c r="Q331" t="e">
        <f>IF($E331="Cuidado Facial",$H331,NA())</f>
        <v>#N/A</v>
      </c>
      <c r="R331" s="8">
        <f>IF($E331="Capilar",$G331,NA())</f>
        <v>1109.44</v>
      </c>
      <c r="S331" s="8">
        <f>IF($E331="Capilar",$H331,NA())</f>
        <v>542.65</v>
      </c>
      <c r="T331" s="6" t="str">
        <f t="shared" si="5"/>
        <v>Julio</v>
      </c>
    </row>
    <row r="332" spans="1:20" ht="15" customHeight="1" x14ac:dyDescent="0.25">
      <c r="A332" s="5">
        <v>46377</v>
      </c>
      <c r="B332" s="6" t="s">
        <v>46</v>
      </c>
      <c r="C332" s="6" t="s">
        <v>31</v>
      </c>
      <c r="D332" s="6" t="s">
        <v>49</v>
      </c>
      <c r="E332" s="6" t="s">
        <v>40</v>
      </c>
      <c r="F332" s="6">
        <v>11</v>
      </c>
      <c r="G332" s="7">
        <v>1896.04</v>
      </c>
      <c r="H332" s="7">
        <v>960.4</v>
      </c>
      <c r="I332" s="7">
        <v>20856.439999999999</v>
      </c>
      <c r="J332" s="7">
        <v>10564.4</v>
      </c>
      <c r="K332" s="7">
        <v>10292.040000000001</v>
      </c>
      <c r="L332" t="e">
        <f>IF($E332="Maquillaje",$G332,NA())</f>
        <v>#N/A</v>
      </c>
      <c r="M332" t="e">
        <f>IF($E332="Maquillaje",$H332,NA())</f>
        <v>#N/A</v>
      </c>
      <c r="N332" t="e">
        <f>IF($E332="Perfumería",$G332,NA())</f>
        <v>#N/A</v>
      </c>
      <c r="O332" t="e">
        <f>IF($E332="Perfumería",$H332,NA())</f>
        <v>#N/A</v>
      </c>
      <c r="P332" s="8">
        <f>IF($E332="Cuidado Facial",$G332,NA())</f>
        <v>1896.04</v>
      </c>
      <c r="Q332" s="8">
        <f>IF($E332="Cuidado Facial",$H332,NA())</f>
        <v>960.4</v>
      </c>
      <c r="R332" t="e">
        <f>IF($E332="Capilar",$G332,NA())</f>
        <v>#N/A</v>
      </c>
      <c r="S332" t="e">
        <f>IF($E332="Capilar",$H332,NA())</f>
        <v>#N/A</v>
      </c>
      <c r="T332" s="6" t="str">
        <f t="shared" si="5"/>
        <v>Diciembre</v>
      </c>
    </row>
    <row r="333" spans="1:20" ht="15" customHeight="1" x14ac:dyDescent="0.25">
      <c r="A333" s="5">
        <v>46387</v>
      </c>
      <c r="B333" s="6" t="s">
        <v>30</v>
      </c>
      <c r="C333" s="6" t="s">
        <v>48</v>
      </c>
      <c r="D333" s="6" t="s">
        <v>36</v>
      </c>
      <c r="E333" s="6" t="s">
        <v>37</v>
      </c>
      <c r="F333" s="6">
        <v>15</v>
      </c>
      <c r="G333" s="7">
        <v>1330.66</v>
      </c>
      <c r="H333" s="7">
        <v>732.94</v>
      </c>
      <c r="I333" s="7">
        <v>19959.900000000001</v>
      </c>
      <c r="J333" s="7">
        <v>10994.1</v>
      </c>
      <c r="K333" s="7">
        <v>8965.7999999999993</v>
      </c>
      <c r="L333" s="8">
        <f>IF($E333="Maquillaje",$G333,NA())</f>
        <v>1330.66</v>
      </c>
      <c r="M333" s="8">
        <f>IF($E333="Maquillaje",$H333,NA())</f>
        <v>732.94</v>
      </c>
      <c r="N333" t="e">
        <f>IF($E333="Perfumería",$G333,NA())</f>
        <v>#N/A</v>
      </c>
      <c r="O333" t="e">
        <f>IF($E333="Perfumería",$H333,NA())</f>
        <v>#N/A</v>
      </c>
      <c r="P333" t="e">
        <f>IF($E333="Cuidado Facial",$G333,NA())</f>
        <v>#N/A</v>
      </c>
      <c r="Q333" t="e">
        <f>IF($E333="Cuidado Facial",$H333,NA())</f>
        <v>#N/A</v>
      </c>
      <c r="R333" t="e">
        <f>IF($E333="Capilar",$G333,NA())</f>
        <v>#N/A</v>
      </c>
      <c r="S333" t="e">
        <f>IF($E333="Capilar",$H333,NA())</f>
        <v>#N/A</v>
      </c>
      <c r="T333" s="6" t="str">
        <f t="shared" si="5"/>
        <v>Diciembre</v>
      </c>
    </row>
    <row r="334" spans="1:20" ht="15" customHeight="1" x14ac:dyDescent="0.25">
      <c r="A334" s="5">
        <v>46172</v>
      </c>
      <c r="B334" s="6" t="s">
        <v>41</v>
      </c>
      <c r="C334" s="6" t="s">
        <v>35</v>
      </c>
      <c r="D334" s="6" t="s">
        <v>44</v>
      </c>
      <c r="E334" s="6" t="s">
        <v>37</v>
      </c>
      <c r="F334" s="6">
        <v>5</v>
      </c>
      <c r="G334" s="7">
        <v>1118.99</v>
      </c>
      <c r="H334" s="7">
        <v>596.88</v>
      </c>
      <c r="I334" s="7">
        <v>5594.95</v>
      </c>
      <c r="J334" s="7">
        <v>2984.4</v>
      </c>
      <c r="K334" s="7">
        <v>2610.5500000000002</v>
      </c>
      <c r="L334" s="8">
        <f>IF($E334="Maquillaje",$G334,NA())</f>
        <v>1118.99</v>
      </c>
      <c r="M334" s="8">
        <f>IF($E334="Maquillaje",$H334,NA())</f>
        <v>596.88</v>
      </c>
      <c r="N334" t="e">
        <f>IF($E334="Perfumería",$G334,NA())</f>
        <v>#N/A</v>
      </c>
      <c r="O334" t="e">
        <f>IF($E334="Perfumería",$H334,NA())</f>
        <v>#N/A</v>
      </c>
      <c r="P334" t="e">
        <f>IF($E334="Cuidado Facial",$G334,NA())</f>
        <v>#N/A</v>
      </c>
      <c r="Q334" t="e">
        <f>IF($E334="Cuidado Facial",$H334,NA())</f>
        <v>#N/A</v>
      </c>
      <c r="R334" t="e">
        <f>IF($E334="Capilar",$G334,NA())</f>
        <v>#N/A</v>
      </c>
      <c r="S334" t="e">
        <f>IF($E334="Capilar",$H334,NA())</f>
        <v>#N/A</v>
      </c>
      <c r="T334" s="6" t="str">
        <f t="shared" si="5"/>
        <v>Mayo</v>
      </c>
    </row>
    <row r="335" spans="1:20" ht="15" customHeight="1" x14ac:dyDescent="0.25">
      <c r="A335" s="5">
        <v>46191</v>
      </c>
      <c r="B335" s="6" t="s">
        <v>34</v>
      </c>
      <c r="C335" s="6" t="s">
        <v>35</v>
      </c>
      <c r="D335" s="6" t="s">
        <v>44</v>
      </c>
      <c r="E335" s="6" t="s">
        <v>37</v>
      </c>
      <c r="F335" s="6">
        <v>14</v>
      </c>
      <c r="G335" s="7">
        <v>1246.23</v>
      </c>
      <c r="H335" s="7">
        <v>635.08000000000004</v>
      </c>
      <c r="I335" s="7">
        <v>17447.22</v>
      </c>
      <c r="J335" s="7">
        <v>8891.1200000000008</v>
      </c>
      <c r="K335" s="7">
        <v>8556.1</v>
      </c>
      <c r="L335" s="8">
        <f>IF($E335="Maquillaje",$G335,NA())</f>
        <v>1246.23</v>
      </c>
      <c r="M335" s="8">
        <f>IF($E335="Maquillaje",$H335,NA())</f>
        <v>635.08000000000004</v>
      </c>
      <c r="N335" t="e">
        <f>IF($E335="Perfumería",$G335,NA())</f>
        <v>#N/A</v>
      </c>
      <c r="O335" t="e">
        <f>IF($E335="Perfumería",$H335,NA())</f>
        <v>#N/A</v>
      </c>
      <c r="P335" t="e">
        <f>IF($E335="Cuidado Facial",$G335,NA())</f>
        <v>#N/A</v>
      </c>
      <c r="Q335" t="e">
        <f>IF($E335="Cuidado Facial",$H335,NA())</f>
        <v>#N/A</v>
      </c>
      <c r="R335" t="e">
        <f>IF($E335="Capilar",$G335,NA())</f>
        <v>#N/A</v>
      </c>
      <c r="S335" t="e">
        <f>IF($E335="Capilar",$H335,NA())</f>
        <v>#N/A</v>
      </c>
      <c r="T335" s="6" t="str">
        <f t="shared" si="5"/>
        <v>Junio</v>
      </c>
    </row>
    <row r="336" spans="1:20" ht="15" customHeight="1" x14ac:dyDescent="0.25">
      <c r="A336" s="5">
        <v>46264</v>
      </c>
      <c r="B336" s="6" t="s">
        <v>38</v>
      </c>
      <c r="C336" s="6" t="s">
        <v>31</v>
      </c>
      <c r="D336" s="6" t="s">
        <v>45</v>
      </c>
      <c r="E336" s="6" t="s">
        <v>43</v>
      </c>
      <c r="F336" s="6">
        <v>13</v>
      </c>
      <c r="G336" s="7">
        <v>1169.22</v>
      </c>
      <c r="H336" s="7">
        <v>573.71</v>
      </c>
      <c r="I336" s="7">
        <v>15199.86</v>
      </c>
      <c r="J336" s="7">
        <v>7458.23</v>
      </c>
      <c r="K336" s="7">
        <v>7741.63</v>
      </c>
      <c r="L336" t="e">
        <f>IF($E336="Maquillaje",$G336,NA())</f>
        <v>#N/A</v>
      </c>
      <c r="M336" t="e">
        <f>IF($E336="Maquillaje",$H336,NA())</f>
        <v>#N/A</v>
      </c>
      <c r="N336" t="e">
        <f>IF($E336="Perfumería",$G336,NA())</f>
        <v>#N/A</v>
      </c>
      <c r="O336" t="e">
        <f>IF($E336="Perfumería",$H336,NA())</f>
        <v>#N/A</v>
      </c>
      <c r="P336" t="e">
        <f>IF($E336="Cuidado Facial",$G336,NA())</f>
        <v>#N/A</v>
      </c>
      <c r="Q336" t="e">
        <f>IF($E336="Cuidado Facial",$H336,NA())</f>
        <v>#N/A</v>
      </c>
      <c r="R336" s="8">
        <f>IF($E336="Capilar",$G336,NA())</f>
        <v>1169.22</v>
      </c>
      <c r="S336" s="8">
        <f>IF($E336="Capilar",$H336,NA())</f>
        <v>573.71</v>
      </c>
      <c r="T336" s="6" t="str">
        <f t="shared" si="5"/>
        <v>Agosto</v>
      </c>
    </row>
    <row r="337" spans="1:20" ht="15" customHeight="1" x14ac:dyDescent="0.25">
      <c r="A337" s="5">
        <v>46035</v>
      </c>
      <c r="B337" s="6" t="s">
        <v>41</v>
      </c>
      <c r="C337" s="6" t="s">
        <v>35</v>
      </c>
      <c r="D337" s="6" t="s">
        <v>32</v>
      </c>
      <c r="E337" s="6" t="s">
        <v>33</v>
      </c>
      <c r="F337" s="6">
        <v>4</v>
      </c>
      <c r="G337" s="7">
        <v>3730.65</v>
      </c>
      <c r="H337" s="7">
        <v>1923.37</v>
      </c>
      <c r="I337" s="7">
        <v>14922.6</v>
      </c>
      <c r="J337" s="7">
        <v>7693.48</v>
      </c>
      <c r="K337" s="7">
        <v>7229.12</v>
      </c>
      <c r="L337" t="e">
        <f>IF($E337="Maquillaje",$G337,NA())</f>
        <v>#N/A</v>
      </c>
      <c r="M337" t="e">
        <f>IF($E337="Maquillaje",$H337,NA())</f>
        <v>#N/A</v>
      </c>
      <c r="N337" s="8">
        <f>IF($E337="Perfumería",$G337,NA())</f>
        <v>3730.65</v>
      </c>
      <c r="O337" s="8">
        <f>IF($E337="Perfumería",$H337,NA())</f>
        <v>1923.37</v>
      </c>
      <c r="P337" t="e">
        <f>IF($E337="Cuidado Facial",$G337,NA())</f>
        <v>#N/A</v>
      </c>
      <c r="Q337" t="e">
        <f>IF($E337="Cuidado Facial",$H337,NA())</f>
        <v>#N/A</v>
      </c>
      <c r="R337" t="e">
        <f>IF($E337="Capilar",$G337,NA())</f>
        <v>#N/A</v>
      </c>
      <c r="S337" t="e">
        <f>IF($E337="Capilar",$H337,NA())</f>
        <v>#N/A</v>
      </c>
      <c r="T337" s="6" t="str">
        <f t="shared" si="5"/>
        <v>Enero</v>
      </c>
    </row>
    <row r="338" spans="1:20" ht="15" customHeight="1" x14ac:dyDescent="0.25">
      <c r="A338" s="5">
        <v>46260</v>
      </c>
      <c r="B338" s="6" t="s">
        <v>46</v>
      </c>
      <c r="C338" s="6" t="s">
        <v>31</v>
      </c>
      <c r="D338" s="6" t="s">
        <v>49</v>
      </c>
      <c r="E338" s="6" t="s">
        <v>40</v>
      </c>
      <c r="F338" s="6">
        <v>12</v>
      </c>
      <c r="G338" s="7">
        <v>1730.3</v>
      </c>
      <c r="H338" s="7">
        <v>949.43</v>
      </c>
      <c r="I338" s="7">
        <v>20763.599999999999</v>
      </c>
      <c r="J338" s="7">
        <v>11393.16</v>
      </c>
      <c r="K338" s="7">
        <v>9370.44</v>
      </c>
      <c r="L338" t="e">
        <f>IF($E338="Maquillaje",$G338,NA())</f>
        <v>#N/A</v>
      </c>
      <c r="M338" t="e">
        <f>IF($E338="Maquillaje",$H338,NA())</f>
        <v>#N/A</v>
      </c>
      <c r="N338" t="e">
        <f>IF($E338="Perfumería",$G338,NA())</f>
        <v>#N/A</v>
      </c>
      <c r="O338" t="e">
        <f>IF($E338="Perfumería",$H338,NA())</f>
        <v>#N/A</v>
      </c>
      <c r="P338" s="8">
        <f>IF($E338="Cuidado Facial",$G338,NA())</f>
        <v>1730.3</v>
      </c>
      <c r="Q338" s="8">
        <f>IF($E338="Cuidado Facial",$H338,NA())</f>
        <v>949.43</v>
      </c>
      <c r="R338" t="e">
        <f>IF($E338="Capilar",$G338,NA())</f>
        <v>#N/A</v>
      </c>
      <c r="S338" t="e">
        <f>IF($E338="Capilar",$H338,NA())</f>
        <v>#N/A</v>
      </c>
      <c r="T338" s="6" t="str">
        <f t="shared" si="5"/>
        <v>Agosto</v>
      </c>
    </row>
    <row r="339" spans="1:20" ht="15" customHeight="1" x14ac:dyDescent="0.25">
      <c r="A339" s="5">
        <v>46144</v>
      </c>
      <c r="B339" s="6" t="s">
        <v>46</v>
      </c>
      <c r="C339" s="6" t="s">
        <v>31</v>
      </c>
      <c r="D339" s="6" t="s">
        <v>44</v>
      </c>
      <c r="E339" s="6" t="s">
        <v>37</v>
      </c>
      <c r="F339" s="6">
        <v>6</v>
      </c>
      <c r="G339" s="7">
        <v>1108.7</v>
      </c>
      <c r="H339" s="7">
        <v>650.88</v>
      </c>
      <c r="I339" s="7">
        <v>6652.2</v>
      </c>
      <c r="J339" s="7">
        <v>3905.28</v>
      </c>
      <c r="K339" s="7">
        <v>2746.92</v>
      </c>
      <c r="L339" s="8">
        <f>IF($E339="Maquillaje",$G339,NA())</f>
        <v>1108.7</v>
      </c>
      <c r="M339" s="8">
        <f>IF($E339="Maquillaje",$H339,NA())</f>
        <v>650.88</v>
      </c>
      <c r="N339" t="e">
        <f>IF($E339="Perfumería",$G339,NA())</f>
        <v>#N/A</v>
      </c>
      <c r="O339" t="e">
        <f>IF($E339="Perfumería",$H339,NA())</f>
        <v>#N/A</v>
      </c>
      <c r="P339" t="e">
        <f>IF($E339="Cuidado Facial",$G339,NA())</f>
        <v>#N/A</v>
      </c>
      <c r="Q339" t="e">
        <f>IF($E339="Cuidado Facial",$H339,NA())</f>
        <v>#N/A</v>
      </c>
      <c r="R339" t="e">
        <f>IF($E339="Capilar",$G339,NA())</f>
        <v>#N/A</v>
      </c>
      <c r="S339" t="e">
        <f>IF($E339="Capilar",$H339,NA())</f>
        <v>#N/A</v>
      </c>
      <c r="T339" s="6" t="str">
        <f t="shared" si="5"/>
        <v>Mayo</v>
      </c>
    </row>
    <row r="340" spans="1:20" ht="15" customHeight="1" x14ac:dyDescent="0.25">
      <c r="A340" s="5">
        <v>46293</v>
      </c>
      <c r="B340" s="6" t="s">
        <v>30</v>
      </c>
      <c r="C340" s="6" t="s">
        <v>48</v>
      </c>
      <c r="D340" s="6" t="s">
        <v>42</v>
      </c>
      <c r="E340" s="6" t="s">
        <v>43</v>
      </c>
      <c r="F340" s="6">
        <v>8</v>
      </c>
      <c r="G340" s="7">
        <v>867.67</v>
      </c>
      <c r="H340" s="7">
        <v>509.14</v>
      </c>
      <c r="I340" s="7">
        <v>6941.36</v>
      </c>
      <c r="J340" s="7">
        <v>4073.12</v>
      </c>
      <c r="K340" s="7">
        <v>2868.24</v>
      </c>
      <c r="L340" t="e">
        <f>IF($E340="Maquillaje",$G340,NA())</f>
        <v>#N/A</v>
      </c>
      <c r="M340" t="e">
        <f>IF($E340="Maquillaje",$H340,NA())</f>
        <v>#N/A</v>
      </c>
      <c r="N340" t="e">
        <f>IF($E340="Perfumería",$G340,NA())</f>
        <v>#N/A</v>
      </c>
      <c r="O340" t="e">
        <f>IF($E340="Perfumería",$H340,NA())</f>
        <v>#N/A</v>
      </c>
      <c r="P340" t="e">
        <f>IF($E340="Cuidado Facial",$G340,NA())</f>
        <v>#N/A</v>
      </c>
      <c r="Q340" t="e">
        <f>IF($E340="Cuidado Facial",$H340,NA())</f>
        <v>#N/A</v>
      </c>
      <c r="R340" s="8">
        <f>IF($E340="Capilar",$G340,NA())</f>
        <v>867.67</v>
      </c>
      <c r="S340" s="8">
        <f>IF($E340="Capilar",$H340,NA())</f>
        <v>509.14</v>
      </c>
      <c r="T340" s="6" t="str">
        <f t="shared" si="5"/>
        <v>Septiembre</v>
      </c>
    </row>
    <row r="341" spans="1:20" ht="15" customHeight="1" x14ac:dyDescent="0.25">
      <c r="A341" s="5">
        <v>46308</v>
      </c>
      <c r="B341" s="6" t="s">
        <v>41</v>
      </c>
      <c r="C341" s="6" t="s">
        <v>35</v>
      </c>
      <c r="D341" s="6" t="s">
        <v>36</v>
      </c>
      <c r="E341" s="6" t="s">
        <v>37</v>
      </c>
      <c r="F341" s="6">
        <v>13</v>
      </c>
      <c r="G341" s="7">
        <v>1403.83</v>
      </c>
      <c r="H341" s="7">
        <v>783.09</v>
      </c>
      <c r="I341" s="7">
        <v>18249.79</v>
      </c>
      <c r="J341" s="7">
        <v>10180.17</v>
      </c>
      <c r="K341" s="7">
        <v>8069.62</v>
      </c>
      <c r="L341" s="8">
        <f>IF($E341="Maquillaje",$G341,NA())</f>
        <v>1403.83</v>
      </c>
      <c r="M341" s="8">
        <f>IF($E341="Maquillaje",$H341,NA())</f>
        <v>783.09</v>
      </c>
      <c r="N341" t="e">
        <f>IF($E341="Perfumería",$G341,NA())</f>
        <v>#N/A</v>
      </c>
      <c r="O341" t="e">
        <f>IF($E341="Perfumería",$H341,NA())</f>
        <v>#N/A</v>
      </c>
      <c r="P341" t="e">
        <f>IF($E341="Cuidado Facial",$G341,NA())</f>
        <v>#N/A</v>
      </c>
      <c r="Q341" t="e">
        <f>IF($E341="Cuidado Facial",$H341,NA())</f>
        <v>#N/A</v>
      </c>
      <c r="R341" t="e">
        <f>IF($E341="Capilar",$G341,NA())</f>
        <v>#N/A</v>
      </c>
      <c r="S341" t="e">
        <f>IF($E341="Capilar",$H341,NA())</f>
        <v>#N/A</v>
      </c>
      <c r="T341" s="6" t="str">
        <f t="shared" si="5"/>
        <v>Octubre</v>
      </c>
    </row>
    <row r="342" spans="1:20" ht="15" customHeight="1" x14ac:dyDescent="0.25">
      <c r="A342" s="5">
        <v>46049</v>
      </c>
      <c r="B342" s="6" t="s">
        <v>38</v>
      </c>
      <c r="C342" s="6" t="s">
        <v>31</v>
      </c>
      <c r="D342" s="6" t="s">
        <v>36</v>
      </c>
      <c r="E342" s="6" t="s">
        <v>37</v>
      </c>
      <c r="F342" s="6">
        <v>3</v>
      </c>
      <c r="G342" s="7">
        <v>1542.38</v>
      </c>
      <c r="H342" s="7">
        <v>796.17</v>
      </c>
      <c r="I342" s="7">
        <v>4627.1400000000003</v>
      </c>
      <c r="J342" s="7">
        <v>2388.5100000000002</v>
      </c>
      <c r="K342" s="7">
        <v>2238.63</v>
      </c>
      <c r="L342" s="8">
        <f>IF($E342="Maquillaje",$G342,NA())</f>
        <v>1542.38</v>
      </c>
      <c r="M342" s="8">
        <f>IF($E342="Maquillaje",$H342,NA())</f>
        <v>796.17</v>
      </c>
      <c r="N342" t="e">
        <f>IF($E342="Perfumería",$G342,NA())</f>
        <v>#N/A</v>
      </c>
      <c r="O342" t="e">
        <f>IF($E342="Perfumería",$H342,NA())</f>
        <v>#N/A</v>
      </c>
      <c r="P342" t="e">
        <f>IF($E342="Cuidado Facial",$G342,NA())</f>
        <v>#N/A</v>
      </c>
      <c r="Q342" t="e">
        <f>IF($E342="Cuidado Facial",$H342,NA())</f>
        <v>#N/A</v>
      </c>
      <c r="R342" t="e">
        <f>IF($E342="Capilar",$G342,NA())</f>
        <v>#N/A</v>
      </c>
      <c r="S342" t="e">
        <f>IF($E342="Capilar",$H342,NA())</f>
        <v>#N/A</v>
      </c>
      <c r="T342" s="6" t="str">
        <f t="shared" si="5"/>
        <v>Enero</v>
      </c>
    </row>
    <row r="343" spans="1:20" ht="15" customHeight="1" x14ac:dyDescent="0.25">
      <c r="A343" s="5">
        <v>46241</v>
      </c>
      <c r="B343" s="6" t="s">
        <v>34</v>
      </c>
      <c r="C343" s="6" t="s">
        <v>35</v>
      </c>
      <c r="D343" s="6" t="s">
        <v>45</v>
      </c>
      <c r="E343" s="6" t="s">
        <v>43</v>
      </c>
      <c r="F343" s="6">
        <v>2</v>
      </c>
      <c r="G343" s="7">
        <v>1010.17</v>
      </c>
      <c r="H343" s="7">
        <v>609.61</v>
      </c>
      <c r="I343" s="7">
        <v>2020.34</v>
      </c>
      <c r="J343" s="7">
        <v>1219.22</v>
      </c>
      <c r="K343" s="7">
        <v>801.12</v>
      </c>
      <c r="L343" t="e">
        <f>IF($E343="Maquillaje",$G343,NA())</f>
        <v>#N/A</v>
      </c>
      <c r="M343" t="e">
        <f>IF($E343="Maquillaje",$H343,NA())</f>
        <v>#N/A</v>
      </c>
      <c r="N343" t="e">
        <f>IF($E343="Perfumería",$G343,NA())</f>
        <v>#N/A</v>
      </c>
      <c r="O343" t="e">
        <f>IF($E343="Perfumería",$H343,NA())</f>
        <v>#N/A</v>
      </c>
      <c r="P343" t="e">
        <f>IF($E343="Cuidado Facial",$G343,NA())</f>
        <v>#N/A</v>
      </c>
      <c r="Q343" t="e">
        <f>IF($E343="Cuidado Facial",$H343,NA())</f>
        <v>#N/A</v>
      </c>
      <c r="R343" s="8">
        <f>IF($E343="Capilar",$G343,NA())</f>
        <v>1010.17</v>
      </c>
      <c r="S343" s="8">
        <f>IF($E343="Capilar",$H343,NA())</f>
        <v>609.61</v>
      </c>
      <c r="T343" s="6" t="str">
        <f t="shared" si="5"/>
        <v>Agosto</v>
      </c>
    </row>
    <row r="344" spans="1:20" ht="15" customHeight="1" x14ac:dyDescent="0.25">
      <c r="A344" s="5">
        <v>46138</v>
      </c>
      <c r="B344" s="6" t="s">
        <v>46</v>
      </c>
      <c r="C344" s="6" t="s">
        <v>31</v>
      </c>
      <c r="D344" s="6" t="s">
        <v>42</v>
      </c>
      <c r="E344" s="6" t="s">
        <v>43</v>
      </c>
      <c r="F344" s="6">
        <v>4</v>
      </c>
      <c r="G344" s="7">
        <v>994.46</v>
      </c>
      <c r="H344" s="7">
        <v>444.44</v>
      </c>
      <c r="I344" s="7">
        <v>3977.84</v>
      </c>
      <c r="J344" s="7">
        <v>1777.76</v>
      </c>
      <c r="K344" s="7">
        <v>2200.08</v>
      </c>
      <c r="L344" t="e">
        <f>IF($E344="Maquillaje",$G344,NA())</f>
        <v>#N/A</v>
      </c>
      <c r="M344" t="e">
        <f>IF($E344="Maquillaje",$H344,NA())</f>
        <v>#N/A</v>
      </c>
      <c r="N344" t="e">
        <f>IF($E344="Perfumería",$G344,NA())</f>
        <v>#N/A</v>
      </c>
      <c r="O344" t="e">
        <f>IF($E344="Perfumería",$H344,NA())</f>
        <v>#N/A</v>
      </c>
      <c r="P344" t="e">
        <f>IF($E344="Cuidado Facial",$G344,NA())</f>
        <v>#N/A</v>
      </c>
      <c r="Q344" t="e">
        <f>IF($E344="Cuidado Facial",$H344,NA())</f>
        <v>#N/A</v>
      </c>
      <c r="R344" s="8">
        <f>IF($E344="Capilar",$G344,NA())</f>
        <v>994.46</v>
      </c>
      <c r="S344" s="8">
        <f>IF($E344="Capilar",$H344,NA())</f>
        <v>444.44</v>
      </c>
      <c r="T344" s="6" t="str">
        <f t="shared" si="5"/>
        <v>Abril</v>
      </c>
    </row>
    <row r="345" spans="1:20" ht="15" customHeight="1" x14ac:dyDescent="0.25">
      <c r="A345" s="5">
        <v>46285</v>
      </c>
      <c r="B345" s="6" t="s">
        <v>30</v>
      </c>
      <c r="C345" s="6" t="s">
        <v>48</v>
      </c>
      <c r="D345" s="6" t="s">
        <v>45</v>
      </c>
      <c r="E345" s="6" t="s">
        <v>43</v>
      </c>
      <c r="F345" s="6">
        <v>3</v>
      </c>
      <c r="G345" s="7">
        <v>1204.77</v>
      </c>
      <c r="H345" s="7">
        <v>572.91999999999996</v>
      </c>
      <c r="I345" s="7">
        <v>3614.31</v>
      </c>
      <c r="J345" s="7">
        <v>1718.76</v>
      </c>
      <c r="K345" s="7">
        <v>1895.55</v>
      </c>
      <c r="L345" t="e">
        <f>IF($E345="Maquillaje",$G345,NA())</f>
        <v>#N/A</v>
      </c>
      <c r="M345" t="e">
        <f>IF($E345="Maquillaje",$H345,NA())</f>
        <v>#N/A</v>
      </c>
      <c r="N345" t="e">
        <f>IF($E345="Perfumería",$G345,NA())</f>
        <v>#N/A</v>
      </c>
      <c r="O345" t="e">
        <f>IF($E345="Perfumería",$H345,NA())</f>
        <v>#N/A</v>
      </c>
      <c r="P345" t="e">
        <f>IF($E345="Cuidado Facial",$G345,NA())</f>
        <v>#N/A</v>
      </c>
      <c r="Q345" t="e">
        <f>IF($E345="Cuidado Facial",$H345,NA())</f>
        <v>#N/A</v>
      </c>
      <c r="R345" s="8">
        <f>IF($E345="Capilar",$G345,NA())</f>
        <v>1204.77</v>
      </c>
      <c r="S345" s="8">
        <f>IF($E345="Capilar",$H345,NA())</f>
        <v>572.91999999999996</v>
      </c>
      <c r="T345" s="6" t="str">
        <f t="shared" si="5"/>
        <v>Septiembre</v>
      </c>
    </row>
    <row r="346" spans="1:20" ht="15" customHeight="1" x14ac:dyDescent="0.25">
      <c r="A346" s="5">
        <v>46372</v>
      </c>
      <c r="B346" s="6" t="s">
        <v>34</v>
      </c>
      <c r="C346" s="6" t="s">
        <v>35</v>
      </c>
      <c r="D346" s="6" t="s">
        <v>32</v>
      </c>
      <c r="E346" s="6" t="s">
        <v>33</v>
      </c>
      <c r="F346" s="6">
        <v>6</v>
      </c>
      <c r="G346" s="7">
        <v>3067.08</v>
      </c>
      <c r="H346" s="7">
        <v>1842.2</v>
      </c>
      <c r="I346" s="7">
        <v>18402.48</v>
      </c>
      <c r="J346" s="7">
        <v>11053.2</v>
      </c>
      <c r="K346" s="7">
        <v>7349.28</v>
      </c>
      <c r="L346" t="e">
        <f>IF($E346="Maquillaje",$G346,NA())</f>
        <v>#N/A</v>
      </c>
      <c r="M346" t="e">
        <f>IF($E346="Maquillaje",$H346,NA())</f>
        <v>#N/A</v>
      </c>
      <c r="N346" s="8">
        <f>IF($E346="Perfumería",$G346,NA())</f>
        <v>3067.08</v>
      </c>
      <c r="O346" s="8">
        <f>IF($E346="Perfumería",$H346,NA())</f>
        <v>1842.2</v>
      </c>
      <c r="P346" t="e">
        <f>IF($E346="Cuidado Facial",$G346,NA())</f>
        <v>#N/A</v>
      </c>
      <c r="Q346" t="e">
        <f>IF($E346="Cuidado Facial",$H346,NA())</f>
        <v>#N/A</v>
      </c>
      <c r="R346" t="e">
        <f>IF($E346="Capilar",$G346,NA())</f>
        <v>#N/A</v>
      </c>
      <c r="S346" t="e">
        <f>IF($E346="Capilar",$H346,NA())</f>
        <v>#N/A</v>
      </c>
      <c r="T346" s="6" t="str">
        <f t="shared" si="5"/>
        <v>Diciembre</v>
      </c>
    </row>
    <row r="347" spans="1:20" ht="15" customHeight="1" x14ac:dyDescent="0.25">
      <c r="A347" s="5">
        <v>46190</v>
      </c>
      <c r="B347" s="6" t="s">
        <v>41</v>
      </c>
      <c r="C347" s="6" t="s">
        <v>35</v>
      </c>
      <c r="D347" s="6" t="s">
        <v>39</v>
      </c>
      <c r="E347" s="6" t="s">
        <v>40</v>
      </c>
      <c r="F347" s="6">
        <v>10</v>
      </c>
      <c r="G347" s="7">
        <v>2038.21</v>
      </c>
      <c r="H347" s="7">
        <v>1024.43</v>
      </c>
      <c r="I347" s="7">
        <v>20382.099999999999</v>
      </c>
      <c r="J347" s="7">
        <v>10244.299999999999</v>
      </c>
      <c r="K347" s="7">
        <v>10137.799999999999</v>
      </c>
      <c r="L347" t="e">
        <f>IF($E347="Maquillaje",$G347,NA())</f>
        <v>#N/A</v>
      </c>
      <c r="M347" t="e">
        <f>IF($E347="Maquillaje",$H347,NA())</f>
        <v>#N/A</v>
      </c>
      <c r="N347" t="e">
        <f>IF($E347="Perfumería",$G347,NA())</f>
        <v>#N/A</v>
      </c>
      <c r="O347" t="e">
        <f>IF($E347="Perfumería",$H347,NA())</f>
        <v>#N/A</v>
      </c>
      <c r="P347" s="8">
        <f>IF($E347="Cuidado Facial",$G347,NA())</f>
        <v>2038.21</v>
      </c>
      <c r="Q347" s="8">
        <f>IF($E347="Cuidado Facial",$H347,NA())</f>
        <v>1024.43</v>
      </c>
      <c r="R347" t="e">
        <f>IF($E347="Capilar",$G347,NA())</f>
        <v>#N/A</v>
      </c>
      <c r="S347" t="e">
        <f>IF($E347="Capilar",$H347,NA())</f>
        <v>#N/A</v>
      </c>
      <c r="T347" s="6" t="str">
        <f t="shared" si="5"/>
        <v>Junio</v>
      </c>
    </row>
    <row r="348" spans="1:20" ht="15" customHeight="1" x14ac:dyDescent="0.25">
      <c r="A348" s="5">
        <v>46233</v>
      </c>
      <c r="B348" s="6" t="s">
        <v>38</v>
      </c>
      <c r="C348" s="6" t="s">
        <v>31</v>
      </c>
      <c r="D348" s="6" t="s">
        <v>47</v>
      </c>
      <c r="E348" s="6" t="s">
        <v>33</v>
      </c>
      <c r="F348" s="6">
        <v>14</v>
      </c>
      <c r="G348" s="7">
        <v>3076.34</v>
      </c>
      <c r="H348" s="7">
        <v>1601.46</v>
      </c>
      <c r="I348" s="7">
        <v>43068.76</v>
      </c>
      <c r="J348" s="7">
        <v>22420.44</v>
      </c>
      <c r="K348" s="7">
        <v>20648.32</v>
      </c>
      <c r="L348" t="e">
        <f>IF($E348="Maquillaje",$G348,NA())</f>
        <v>#N/A</v>
      </c>
      <c r="M348" t="e">
        <f>IF($E348="Maquillaje",$H348,NA())</f>
        <v>#N/A</v>
      </c>
      <c r="N348" s="8">
        <f>IF($E348="Perfumería",$G348,NA())</f>
        <v>3076.34</v>
      </c>
      <c r="O348" s="8">
        <f>IF($E348="Perfumería",$H348,NA())</f>
        <v>1601.46</v>
      </c>
      <c r="P348" t="e">
        <f>IF($E348="Cuidado Facial",$G348,NA())</f>
        <v>#N/A</v>
      </c>
      <c r="Q348" t="e">
        <f>IF($E348="Cuidado Facial",$H348,NA())</f>
        <v>#N/A</v>
      </c>
      <c r="R348" t="e">
        <f>IF($E348="Capilar",$G348,NA())</f>
        <v>#N/A</v>
      </c>
      <c r="S348" t="e">
        <f>IF($E348="Capilar",$H348,NA())</f>
        <v>#N/A</v>
      </c>
      <c r="T348" s="6" t="str">
        <f t="shared" si="5"/>
        <v>Julio</v>
      </c>
    </row>
    <row r="349" spans="1:20" ht="15" customHeight="1" x14ac:dyDescent="0.25">
      <c r="A349" s="5">
        <v>46145</v>
      </c>
      <c r="B349" s="6" t="s">
        <v>41</v>
      </c>
      <c r="C349" s="6" t="s">
        <v>35</v>
      </c>
      <c r="D349" s="6" t="s">
        <v>47</v>
      </c>
      <c r="E349" s="6" t="s">
        <v>33</v>
      </c>
      <c r="F349" s="6">
        <v>15</v>
      </c>
      <c r="G349" s="7">
        <v>3375.61</v>
      </c>
      <c r="H349" s="7">
        <v>1714.3</v>
      </c>
      <c r="I349" s="7">
        <v>50634.15</v>
      </c>
      <c r="J349" s="7">
        <v>25714.5</v>
      </c>
      <c r="K349" s="7">
        <v>24919.65</v>
      </c>
      <c r="L349" t="e">
        <f>IF($E349="Maquillaje",$G349,NA())</f>
        <v>#N/A</v>
      </c>
      <c r="M349" t="e">
        <f>IF($E349="Maquillaje",$H349,NA())</f>
        <v>#N/A</v>
      </c>
      <c r="N349">
        <f>IF($E349="Perfumería",$G349,NA())</f>
        <v>3375.61</v>
      </c>
      <c r="O349">
        <f>IF($E349="Perfumería",$H349,NA())</f>
        <v>1714.3</v>
      </c>
      <c r="P349" t="e">
        <f>IF($E349="Cuidado Facial",$G349,NA())</f>
        <v>#N/A</v>
      </c>
      <c r="Q349" t="e">
        <f>IF($E349="Cuidado Facial",$H349,NA())</f>
        <v>#N/A</v>
      </c>
      <c r="R349" t="e">
        <f>IF($E349="Capilar",$G349,NA())</f>
        <v>#N/A</v>
      </c>
      <c r="S349" t="e">
        <f>IF($E349="Capilar",$H349,NA())</f>
        <v>#N/A</v>
      </c>
      <c r="T349" s="6" t="str">
        <f t="shared" si="5"/>
        <v>Mayo</v>
      </c>
    </row>
    <row r="350" spans="1:20" ht="15" customHeight="1" x14ac:dyDescent="0.25">
      <c r="A350" s="5">
        <v>46047</v>
      </c>
      <c r="B350" s="6" t="s">
        <v>46</v>
      </c>
      <c r="C350" s="6" t="s">
        <v>31</v>
      </c>
      <c r="D350" s="6" t="s">
        <v>45</v>
      </c>
      <c r="E350" s="6" t="s">
        <v>43</v>
      </c>
      <c r="F350" s="6">
        <v>13</v>
      </c>
      <c r="G350" s="7">
        <v>1154.76</v>
      </c>
      <c r="H350" s="7">
        <v>597.78</v>
      </c>
      <c r="I350" s="7">
        <v>15011.88</v>
      </c>
      <c r="J350" s="7">
        <v>7771.14</v>
      </c>
      <c r="K350" s="7">
        <v>7240.74</v>
      </c>
      <c r="L350" t="e">
        <f>IF($E350="Maquillaje",$G350,NA())</f>
        <v>#N/A</v>
      </c>
      <c r="M350" t="e">
        <f>IF($E350="Maquillaje",$H350,NA())</f>
        <v>#N/A</v>
      </c>
      <c r="N350" t="e">
        <f>IF($E350="Perfumería",$G350,NA())</f>
        <v>#N/A</v>
      </c>
      <c r="O350" t="e">
        <f>IF($E350="Perfumería",$H350,NA())</f>
        <v>#N/A</v>
      </c>
      <c r="P350" t="e">
        <f>IF($E350="Cuidado Facial",$G350,NA())</f>
        <v>#N/A</v>
      </c>
      <c r="Q350" t="e">
        <f>IF($E350="Cuidado Facial",$H350,NA())</f>
        <v>#N/A</v>
      </c>
      <c r="R350" s="8">
        <f>IF($E350="Capilar",$G350,NA())</f>
        <v>1154.76</v>
      </c>
      <c r="S350" s="8">
        <f>IF($E350="Capilar",$H350,NA())</f>
        <v>597.78</v>
      </c>
      <c r="T350" s="6" t="str">
        <f t="shared" si="5"/>
        <v>Enero</v>
      </c>
    </row>
    <row r="351" spans="1:20" ht="15" customHeight="1" x14ac:dyDescent="0.25">
      <c r="A351" s="5">
        <v>46083</v>
      </c>
      <c r="B351" s="6" t="s">
        <v>30</v>
      </c>
      <c r="C351" s="6" t="s">
        <v>31</v>
      </c>
      <c r="D351" s="6" t="s">
        <v>32</v>
      </c>
      <c r="E351" s="6" t="s">
        <v>33</v>
      </c>
      <c r="F351" s="6">
        <v>2</v>
      </c>
      <c r="G351" s="7">
        <v>3478.24</v>
      </c>
      <c r="H351" s="7">
        <v>1749.25</v>
      </c>
      <c r="I351" s="7">
        <v>6956.48</v>
      </c>
      <c r="J351" s="7">
        <v>3498.5</v>
      </c>
      <c r="K351" s="7">
        <v>3457.98</v>
      </c>
      <c r="L351" t="e">
        <f>IF($E351="Maquillaje",$G351,NA())</f>
        <v>#N/A</v>
      </c>
      <c r="M351" t="e">
        <f>IF($E351="Maquillaje",$H351,NA())</f>
        <v>#N/A</v>
      </c>
      <c r="N351">
        <f>IF($E351="Perfumería",$G351,NA())</f>
        <v>3478.24</v>
      </c>
      <c r="O351">
        <f>IF($E351="Perfumería",$H351,NA())</f>
        <v>1749.25</v>
      </c>
      <c r="P351" t="e">
        <f>IF($E351="Cuidado Facial",$G351,NA())</f>
        <v>#N/A</v>
      </c>
      <c r="Q351" t="e">
        <f>IF($E351="Cuidado Facial",$H351,NA())</f>
        <v>#N/A</v>
      </c>
      <c r="R351" t="e">
        <f>IF($E351="Capilar",$G351,NA())</f>
        <v>#N/A</v>
      </c>
      <c r="S351" t="e">
        <f>IF($E351="Capilar",$H351,NA())</f>
        <v>#N/A</v>
      </c>
      <c r="T351" s="6" t="str">
        <f t="shared" si="5"/>
        <v>Marzo</v>
      </c>
    </row>
    <row r="352" spans="1:20" ht="15" customHeight="1" x14ac:dyDescent="0.25">
      <c r="A352" s="5">
        <v>46182</v>
      </c>
      <c r="B352" s="6" t="s">
        <v>41</v>
      </c>
      <c r="C352" s="6" t="s">
        <v>35</v>
      </c>
      <c r="D352" s="6" t="s">
        <v>49</v>
      </c>
      <c r="E352" s="6" t="s">
        <v>40</v>
      </c>
      <c r="F352" s="6">
        <v>12</v>
      </c>
      <c r="G352" s="7">
        <v>1922</v>
      </c>
      <c r="H352" s="7">
        <v>943.03</v>
      </c>
      <c r="I352" s="7">
        <v>23064</v>
      </c>
      <c r="J352" s="7">
        <v>11316.36</v>
      </c>
      <c r="K352" s="7">
        <v>11747.64</v>
      </c>
      <c r="L352" t="e">
        <f>IF($E352="Maquillaje",$G352,NA())</f>
        <v>#N/A</v>
      </c>
      <c r="M352" t="e">
        <f>IF($E352="Maquillaje",$H352,NA())</f>
        <v>#N/A</v>
      </c>
      <c r="N352" t="e">
        <f>IF($E352="Perfumería",$G352,NA())</f>
        <v>#N/A</v>
      </c>
      <c r="O352" t="e">
        <f>IF($E352="Perfumería",$H352,NA())</f>
        <v>#N/A</v>
      </c>
      <c r="P352" s="8">
        <f>IF($E352="Cuidado Facial",$G352,NA())</f>
        <v>1922</v>
      </c>
      <c r="Q352" s="8">
        <f>IF($E352="Cuidado Facial",$H352,NA())</f>
        <v>943.03</v>
      </c>
      <c r="R352" t="e">
        <f>IF($E352="Capilar",$G352,NA())</f>
        <v>#N/A</v>
      </c>
      <c r="S352" t="e">
        <f>IF($E352="Capilar",$H352,NA())</f>
        <v>#N/A</v>
      </c>
      <c r="T352" s="6" t="str">
        <f t="shared" si="5"/>
        <v>Junio</v>
      </c>
    </row>
    <row r="353" spans="1:20" ht="15" customHeight="1" x14ac:dyDescent="0.25">
      <c r="A353" s="5">
        <v>46288</v>
      </c>
      <c r="B353" s="6" t="s">
        <v>34</v>
      </c>
      <c r="C353" s="6" t="s">
        <v>35</v>
      </c>
      <c r="D353" s="6" t="s">
        <v>32</v>
      </c>
      <c r="E353" s="6" t="s">
        <v>33</v>
      </c>
      <c r="F353" s="6">
        <v>4</v>
      </c>
      <c r="G353" s="7">
        <v>3306.41</v>
      </c>
      <c r="H353" s="7">
        <v>1702.15</v>
      </c>
      <c r="I353" s="7">
        <v>13225.64</v>
      </c>
      <c r="J353" s="7">
        <v>6808.6</v>
      </c>
      <c r="K353" s="7">
        <v>6417.04</v>
      </c>
      <c r="L353" t="e">
        <f>IF($E353="Maquillaje",$G353,NA())</f>
        <v>#N/A</v>
      </c>
      <c r="M353" t="e">
        <f>IF($E353="Maquillaje",$H353,NA())</f>
        <v>#N/A</v>
      </c>
      <c r="N353" s="8">
        <f>IF($E353="Perfumería",$G353,NA())</f>
        <v>3306.41</v>
      </c>
      <c r="O353" s="8">
        <f>IF($E353="Perfumería",$H353,NA())</f>
        <v>1702.15</v>
      </c>
      <c r="P353" t="e">
        <f>IF($E353="Cuidado Facial",$G353,NA())</f>
        <v>#N/A</v>
      </c>
      <c r="Q353" t="e">
        <f>IF($E353="Cuidado Facial",$H353,NA())</f>
        <v>#N/A</v>
      </c>
      <c r="R353" t="e">
        <f>IF($E353="Capilar",$G353,NA())</f>
        <v>#N/A</v>
      </c>
      <c r="S353" t="e">
        <f>IF($E353="Capilar",$H353,NA())</f>
        <v>#N/A</v>
      </c>
      <c r="T353" s="6" t="str">
        <f t="shared" si="5"/>
        <v>Septiembre</v>
      </c>
    </row>
    <row r="354" spans="1:20" ht="15" customHeight="1" x14ac:dyDescent="0.25">
      <c r="A354" s="5">
        <v>46314</v>
      </c>
      <c r="B354" s="6" t="s">
        <v>38</v>
      </c>
      <c r="C354" s="6" t="s">
        <v>31</v>
      </c>
      <c r="D354" s="6" t="s">
        <v>47</v>
      </c>
      <c r="E354" s="6" t="s">
        <v>33</v>
      </c>
      <c r="F354" s="6">
        <v>2</v>
      </c>
      <c r="G354" s="7">
        <v>2997.64</v>
      </c>
      <c r="H354" s="7">
        <v>1533.12</v>
      </c>
      <c r="I354" s="7">
        <v>5995.28</v>
      </c>
      <c r="J354" s="7">
        <v>3066.24</v>
      </c>
      <c r="K354" s="7">
        <v>2929.04</v>
      </c>
      <c r="L354" t="e">
        <f>IF($E354="Maquillaje",$G354,NA())</f>
        <v>#N/A</v>
      </c>
      <c r="M354" t="e">
        <f>IF($E354="Maquillaje",$H354,NA())</f>
        <v>#N/A</v>
      </c>
      <c r="N354">
        <f>IF($E354="Perfumería",$G354,NA())</f>
        <v>2997.64</v>
      </c>
      <c r="O354">
        <f>IF($E354="Perfumería",$H354,NA())</f>
        <v>1533.12</v>
      </c>
      <c r="P354" t="e">
        <f>IF($E354="Cuidado Facial",$G354,NA())</f>
        <v>#N/A</v>
      </c>
      <c r="Q354" t="e">
        <f>IF($E354="Cuidado Facial",$H354,NA())</f>
        <v>#N/A</v>
      </c>
      <c r="R354" t="e">
        <f>IF($E354="Capilar",$G354,NA())</f>
        <v>#N/A</v>
      </c>
      <c r="S354" t="e">
        <f>IF($E354="Capilar",$H354,NA())</f>
        <v>#N/A</v>
      </c>
      <c r="T354" s="6" t="str">
        <f t="shared" si="5"/>
        <v>Octubre</v>
      </c>
    </row>
    <row r="355" spans="1:20" ht="15" customHeight="1" x14ac:dyDescent="0.25">
      <c r="A355" s="5">
        <v>46332</v>
      </c>
      <c r="B355" s="6" t="s">
        <v>30</v>
      </c>
      <c r="C355" s="6" t="s">
        <v>48</v>
      </c>
      <c r="D355" s="6" t="s">
        <v>47</v>
      </c>
      <c r="E355" s="6" t="s">
        <v>33</v>
      </c>
      <c r="F355" s="6">
        <v>11</v>
      </c>
      <c r="G355" s="7">
        <v>3334.31</v>
      </c>
      <c r="H355" s="7">
        <v>1737.53</v>
      </c>
      <c r="I355" s="7">
        <v>36677.410000000003</v>
      </c>
      <c r="J355" s="7">
        <v>19112.830000000002</v>
      </c>
      <c r="K355" s="7">
        <v>17564.580000000002</v>
      </c>
      <c r="L355" t="e">
        <f>IF($E355="Maquillaje",$G355,NA())</f>
        <v>#N/A</v>
      </c>
      <c r="M355" t="e">
        <f>IF($E355="Maquillaje",$H355,NA())</f>
        <v>#N/A</v>
      </c>
      <c r="N355">
        <f>IF($E355="Perfumería",$G355,NA())</f>
        <v>3334.31</v>
      </c>
      <c r="O355">
        <f>IF($E355="Perfumería",$H355,NA())</f>
        <v>1737.53</v>
      </c>
      <c r="P355" t="e">
        <f>IF($E355="Cuidado Facial",$G355,NA())</f>
        <v>#N/A</v>
      </c>
      <c r="Q355" t="e">
        <f>IF($E355="Cuidado Facial",$H355,NA())</f>
        <v>#N/A</v>
      </c>
      <c r="R355" t="e">
        <f>IF($E355="Capilar",$G355,NA())</f>
        <v>#N/A</v>
      </c>
      <c r="S355" t="e">
        <f>IF($E355="Capilar",$H355,NA())</f>
        <v>#N/A</v>
      </c>
      <c r="T355" s="6" t="str">
        <f t="shared" si="5"/>
        <v>Noviembre</v>
      </c>
    </row>
    <row r="356" spans="1:20" ht="15" customHeight="1" x14ac:dyDescent="0.25">
      <c r="A356" s="5">
        <v>46118</v>
      </c>
      <c r="B356" s="6" t="s">
        <v>38</v>
      </c>
      <c r="C356" s="6" t="s">
        <v>31</v>
      </c>
      <c r="D356" s="6" t="s">
        <v>42</v>
      </c>
      <c r="E356" s="6" t="s">
        <v>43</v>
      </c>
      <c r="F356" s="6">
        <v>15</v>
      </c>
      <c r="G356" s="7">
        <v>1006.09</v>
      </c>
      <c r="H356" s="7">
        <v>449.6</v>
      </c>
      <c r="I356" s="7">
        <v>15091.35</v>
      </c>
      <c r="J356" s="7">
        <v>6744</v>
      </c>
      <c r="K356" s="7">
        <v>8347.35</v>
      </c>
      <c r="L356" t="e">
        <f>IF($E356="Maquillaje",$G356,NA())</f>
        <v>#N/A</v>
      </c>
      <c r="M356" t="e">
        <f>IF($E356="Maquillaje",$H356,NA())</f>
        <v>#N/A</v>
      </c>
      <c r="N356" t="e">
        <f>IF($E356="Perfumería",$G356,NA())</f>
        <v>#N/A</v>
      </c>
      <c r="O356" t="e">
        <f>IF($E356="Perfumería",$H356,NA())</f>
        <v>#N/A</v>
      </c>
      <c r="P356" t="e">
        <f>IF($E356="Cuidado Facial",$G356,NA())</f>
        <v>#N/A</v>
      </c>
      <c r="Q356" t="e">
        <f>IF($E356="Cuidado Facial",$H356,NA())</f>
        <v>#N/A</v>
      </c>
      <c r="R356" s="8">
        <f>IF($E356="Capilar",$G356,NA())</f>
        <v>1006.09</v>
      </c>
      <c r="S356" s="8">
        <f>IF($E356="Capilar",$H356,NA())</f>
        <v>449.6</v>
      </c>
      <c r="T356" s="6" t="str">
        <f t="shared" si="5"/>
        <v>Abril</v>
      </c>
    </row>
    <row r="357" spans="1:20" ht="15" customHeight="1" x14ac:dyDescent="0.25">
      <c r="A357" s="5">
        <v>46314</v>
      </c>
      <c r="B357" s="6" t="s">
        <v>30</v>
      </c>
      <c r="C357" s="6" t="s">
        <v>48</v>
      </c>
      <c r="D357" s="6" t="s">
        <v>32</v>
      </c>
      <c r="E357" s="6" t="s">
        <v>33</v>
      </c>
      <c r="F357" s="6">
        <v>8</v>
      </c>
      <c r="G357" s="7">
        <v>3694.19</v>
      </c>
      <c r="H357" s="7">
        <v>1770.99</v>
      </c>
      <c r="I357" s="7">
        <v>29553.52</v>
      </c>
      <c r="J357" s="7">
        <v>14167.92</v>
      </c>
      <c r="K357" s="7">
        <v>15385.6</v>
      </c>
      <c r="L357" t="e">
        <f>IF($E357="Maquillaje",$G357,NA())</f>
        <v>#N/A</v>
      </c>
      <c r="M357" t="e">
        <f>IF($E357="Maquillaje",$H357,NA())</f>
        <v>#N/A</v>
      </c>
      <c r="N357" s="8">
        <f>IF($E357="Perfumería",$G357,NA())</f>
        <v>3694.19</v>
      </c>
      <c r="O357" s="8">
        <f>IF($E357="Perfumería",$H357,NA())</f>
        <v>1770.99</v>
      </c>
      <c r="P357" t="e">
        <f>IF($E357="Cuidado Facial",$G357,NA())</f>
        <v>#N/A</v>
      </c>
      <c r="Q357" t="e">
        <f>IF($E357="Cuidado Facial",$H357,NA())</f>
        <v>#N/A</v>
      </c>
      <c r="R357" t="e">
        <f>IF($E357="Capilar",$G357,NA())</f>
        <v>#N/A</v>
      </c>
      <c r="S357" t="e">
        <f>IF($E357="Capilar",$H357,NA())</f>
        <v>#N/A</v>
      </c>
      <c r="T357" s="6" t="str">
        <f t="shared" si="5"/>
        <v>Octubre</v>
      </c>
    </row>
    <row r="358" spans="1:20" ht="15" customHeight="1" x14ac:dyDescent="0.25">
      <c r="A358" s="5">
        <v>46107</v>
      </c>
      <c r="B358" s="6" t="s">
        <v>30</v>
      </c>
      <c r="C358" s="6" t="s">
        <v>35</v>
      </c>
      <c r="D358" s="6" t="s">
        <v>32</v>
      </c>
      <c r="E358" s="6" t="s">
        <v>33</v>
      </c>
      <c r="F358" s="6">
        <v>14</v>
      </c>
      <c r="G358" s="7">
        <v>3179.31</v>
      </c>
      <c r="H358" s="7">
        <v>1786.02</v>
      </c>
      <c r="I358" s="7">
        <v>44510.34</v>
      </c>
      <c r="J358" s="7">
        <v>25004.28</v>
      </c>
      <c r="K358" s="7">
        <v>19506.060000000001</v>
      </c>
      <c r="L358" t="e">
        <f>IF($E358="Maquillaje",$G358,NA())</f>
        <v>#N/A</v>
      </c>
      <c r="M358" t="e">
        <f>IF($E358="Maquillaje",$H358,NA())</f>
        <v>#N/A</v>
      </c>
      <c r="N358" s="8">
        <f>IF($E358="Perfumería",$G358,NA())</f>
        <v>3179.31</v>
      </c>
      <c r="O358" s="8">
        <f>IF($E358="Perfumería",$H358,NA())</f>
        <v>1786.02</v>
      </c>
      <c r="P358" t="e">
        <f>IF($E358="Cuidado Facial",$G358,NA())</f>
        <v>#N/A</v>
      </c>
      <c r="Q358" t="e">
        <f>IF($E358="Cuidado Facial",$H358,NA())</f>
        <v>#N/A</v>
      </c>
      <c r="R358" t="e">
        <f>IF($E358="Capilar",$G358,NA())</f>
        <v>#N/A</v>
      </c>
      <c r="S358" t="e">
        <f>IF($E358="Capilar",$H358,NA())</f>
        <v>#N/A</v>
      </c>
      <c r="T358" s="6" t="str">
        <f t="shared" si="5"/>
        <v>Marzo</v>
      </c>
    </row>
    <row r="359" spans="1:20" ht="15" customHeight="1" x14ac:dyDescent="0.25">
      <c r="A359" s="5">
        <v>46079</v>
      </c>
      <c r="B359" s="6" t="s">
        <v>46</v>
      </c>
      <c r="C359" s="6" t="s">
        <v>31</v>
      </c>
      <c r="D359" s="6" t="s">
        <v>42</v>
      </c>
      <c r="E359" s="6" t="s">
        <v>43</v>
      </c>
      <c r="F359" s="6">
        <v>1</v>
      </c>
      <c r="G359" s="7">
        <v>947.8</v>
      </c>
      <c r="H359" s="7">
        <v>432.17</v>
      </c>
      <c r="I359" s="7">
        <v>947.8</v>
      </c>
      <c r="J359" s="7">
        <v>432.17</v>
      </c>
      <c r="K359" s="7">
        <v>515.63</v>
      </c>
      <c r="L359" t="e">
        <f>IF($E359="Maquillaje",$G359,NA())</f>
        <v>#N/A</v>
      </c>
      <c r="M359" t="e">
        <f>IF($E359="Maquillaje",$H359,NA())</f>
        <v>#N/A</v>
      </c>
      <c r="N359" t="e">
        <f>IF($E359="Perfumería",$G359,NA())</f>
        <v>#N/A</v>
      </c>
      <c r="O359" t="e">
        <f>IF($E359="Perfumería",$H359,NA())</f>
        <v>#N/A</v>
      </c>
      <c r="P359" t="e">
        <f>IF($E359="Cuidado Facial",$G359,NA())</f>
        <v>#N/A</v>
      </c>
      <c r="Q359" t="e">
        <f>IF($E359="Cuidado Facial",$H359,NA())</f>
        <v>#N/A</v>
      </c>
      <c r="R359" s="8">
        <f>IF($E359="Capilar",$G359,NA())</f>
        <v>947.8</v>
      </c>
      <c r="S359" s="8">
        <f>IF($E359="Capilar",$H359,NA())</f>
        <v>432.17</v>
      </c>
      <c r="T359" s="6" t="str">
        <f t="shared" si="5"/>
        <v>Febrero</v>
      </c>
    </row>
    <row r="360" spans="1:20" ht="15" customHeight="1" x14ac:dyDescent="0.25">
      <c r="A360" s="5">
        <v>46309</v>
      </c>
      <c r="B360" s="6" t="s">
        <v>30</v>
      </c>
      <c r="C360" s="6" t="s">
        <v>48</v>
      </c>
      <c r="D360" s="6" t="s">
        <v>47</v>
      </c>
      <c r="E360" s="6" t="s">
        <v>33</v>
      </c>
      <c r="F360" s="6">
        <v>4</v>
      </c>
      <c r="G360" s="7">
        <v>3518.47</v>
      </c>
      <c r="H360" s="7">
        <v>1547.54</v>
      </c>
      <c r="I360" s="7">
        <v>14073.88</v>
      </c>
      <c r="J360" s="7">
        <v>6190.16</v>
      </c>
      <c r="K360" s="7">
        <v>7883.72</v>
      </c>
      <c r="L360" t="e">
        <f>IF($E360="Maquillaje",$G360,NA())</f>
        <v>#N/A</v>
      </c>
      <c r="M360" t="e">
        <f>IF($E360="Maquillaje",$H360,NA())</f>
        <v>#N/A</v>
      </c>
      <c r="N360" s="8">
        <f>IF($E360="Perfumería",$G360,NA())</f>
        <v>3518.47</v>
      </c>
      <c r="O360" s="8">
        <f>IF($E360="Perfumería",$H360,NA())</f>
        <v>1547.54</v>
      </c>
      <c r="P360" t="e">
        <f>IF($E360="Cuidado Facial",$G360,NA())</f>
        <v>#N/A</v>
      </c>
      <c r="Q360" t="e">
        <f>IF($E360="Cuidado Facial",$H360,NA())</f>
        <v>#N/A</v>
      </c>
      <c r="R360" t="e">
        <f>IF($E360="Capilar",$G360,NA())</f>
        <v>#N/A</v>
      </c>
      <c r="S360" t="e">
        <f>IF($E360="Capilar",$H360,NA())</f>
        <v>#N/A</v>
      </c>
      <c r="T360" s="6" t="str">
        <f t="shared" si="5"/>
        <v>Octubre</v>
      </c>
    </row>
    <row r="361" spans="1:20" ht="15" customHeight="1" x14ac:dyDescent="0.25">
      <c r="A361" s="5">
        <v>46105</v>
      </c>
      <c r="B361" s="6" t="s">
        <v>41</v>
      </c>
      <c r="C361" s="6" t="s">
        <v>35</v>
      </c>
      <c r="D361" s="6" t="s">
        <v>39</v>
      </c>
      <c r="E361" s="6" t="s">
        <v>40</v>
      </c>
      <c r="F361" s="6">
        <v>11</v>
      </c>
      <c r="G361" s="7">
        <v>1981.77</v>
      </c>
      <c r="H361" s="7">
        <v>962.85</v>
      </c>
      <c r="I361" s="7">
        <v>21799.47</v>
      </c>
      <c r="J361" s="7">
        <v>10591.35</v>
      </c>
      <c r="K361" s="7">
        <v>11208.12</v>
      </c>
      <c r="L361" t="e">
        <f>IF($E361="Maquillaje",$G361,NA())</f>
        <v>#N/A</v>
      </c>
      <c r="M361" t="e">
        <f>IF($E361="Maquillaje",$H361,NA())</f>
        <v>#N/A</v>
      </c>
      <c r="N361" t="e">
        <f>IF($E361="Perfumería",$G361,NA())</f>
        <v>#N/A</v>
      </c>
      <c r="O361" t="e">
        <f>IF($E361="Perfumería",$H361,NA())</f>
        <v>#N/A</v>
      </c>
      <c r="P361" s="8">
        <f>IF($E361="Cuidado Facial",$G361,NA())</f>
        <v>1981.77</v>
      </c>
      <c r="Q361" s="8">
        <f>IF($E361="Cuidado Facial",$H361,NA())</f>
        <v>962.85</v>
      </c>
      <c r="R361" t="e">
        <f>IF($E361="Capilar",$G361,NA())</f>
        <v>#N/A</v>
      </c>
      <c r="S361" t="e">
        <f>IF($E361="Capilar",$H361,NA())</f>
        <v>#N/A</v>
      </c>
      <c r="T361" s="6" t="str">
        <f t="shared" si="5"/>
        <v>Marzo</v>
      </c>
    </row>
    <row r="362" spans="1:20" ht="15" customHeight="1" x14ac:dyDescent="0.25">
      <c r="A362" s="5">
        <v>46117</v>
      </c>
      <c r="B362" s="6" t="s">
        <v>41</v>
      </c>
      <c r="C362" s="6" t="s">
        <v>35</v>
      </c>
      <c r="D362" s="6" t="s">
        <v>39</v>
      </c>
      <c r="E362" s="6" t="s">
        <v>40</v>
      </c>
      <c r="F362" s="6">
        <v>9</v>
      </c>
      <c r="G362" s="7">
        <v>1973.14</v>
      </c>
      <c r="H362" s="7">
        <v>1069.31</v>
      </c>
      <c r="I362" s="7">
        <v>17758.259999999998</v>
      </c>
      <c r="J362" s="7">
        <v>9623.7900000000009</v>
      </c>
      <c r="K362" s="7">
        <v>8134.47</v>
      </c>
      <c r="L362" t="e">
        <f>IF($E362="Maquillaje",$G362,NA())</f>
        <v>#N/A</v>
      </c>
      <c r="M362" t="e">
        <f>IF($E362="Maquillaje",$H362,NA())</f>
        <v>#N/A</v>
      </c>
      <c r="N362" t="e">
        <f>IF($E362="Perfumería",$G362,NA())</f>
        <v>#N/A</v>
      </c>
      <c r="O362" t="e">
        <f>IF($E362="Perfumería",$H362,NA())</f>
        <v>#N/A</v>
      </c>
      <c r="P362" s="8">
        <f>IF($E362="Cuidado Facial",$G362,NA())</f>
        <v>1973.14</v>
      </c>
      <c r="Q362" s="8">
        <f>IF($E362="Cuidado Facial",$H362,NA())</f>
        <v>1069.31</v>
      </c>
      <c r="R362" t="e">
        <f>IF($E362="Capilar",$G362,NA())</f>
        <v>#N/A</v>
      </c>
      <c r="S362" t="e">
        <f>IF($E362="Capilar",$H362,NA())</f>
        <v>#N/A</v>
      </c>
      <c r="T362" s="6" t="str">
        <f t="shared" si="5"/>
        <v>Abril</v>
      </c>
    </row>
    <row r="363" spans="1:20" ht="15" customHeight="1" x14ac:dyDescent="0.25">
      <c r="A363" s="5">
        <v>46382</v>
      </c>
      <c r="B363" s="6" t="s">
        <v>30</v>
      </c>
      <c r="C363" s="6" t="s">
        <v>35</v>
      </c>
      <c r="D363" s="6" t="s">
        <v>49</v>
      </c>
      <c r="E363" s="6" t="s">
        <v>40</v>
      </c>
      <c r="F363" s="6">
        <v>7</v>
      </c>
      <c r="G363" s="7">
        <v>1740.81</v>
      </c>
      <c r="H363" s="7">
        <v>936.89</v>
      </c>
      <c r="I363" s="7">
        <v>12185.67</v>
      </c>
      <c r="J363" s="7">
        <v>6558.23</v>
      </c>
      <c r="K363" s="7">
        <v>5627.44</v>
      </c>
      <c r="L363" t="e">
        <f>IF($E363="Maquillaje",$G363,NA())</f>
        <v>#N/A</v>
      </c>
      <c r="M363" t="e">
        <f>IF($E363="Maquillaje",$H363,NA())</f>
        <v>#N/A</v>
      </c>
      <c r="N363" t="e">
        <f>IF($E363="Perfumería",$G363,NA())</f>
        <v>#N/A</v>
      </c>
      <c r="O363" t="e">
        <f>IF($E363="Perfumería",$H363,NA())</f>
        <v>#N/A</v>
      </c>
      <c r="P363" s="8">
        <f>IF($E363="Cuidado Facial",$G363,NA())</f>
        <v>1740.81</v>
      </c>
      <c r="Q363" s="8">
        <f>IF($E363="Cuidado Facial",$H363,NA())</f>
        <v>936.89</v>
      </c>
      <c r="R363" t="e">
        <f>IF($E363="Capilar",$G363,NA())</f>
        <v>#N/A</v>
      </c>
      <c r="S363" t="e">
        <f>IF($E363="Capilar",$H363,NA())</f>
        <v>#N/A</v>
      </c>
      <c r="T363" s="6" t="str">
        <f t="shared" si="5"/>
        <v>Diciembre</v>
      </c>
    </row>
    <row r="364" spans="1:20" ht="15" customHeight="1" x14ac:dyDescent="0.25">
      <c r="A364" s="5">
        <v>46316</v>
      </c>
      <c r="B364" s="6" t="s">
        <v>30</v>
      </c>
      <c r="C364" s="6" t="s">
        <v>31</v>
      </c>
      <c r="D364" s="6" t="s">
        <v>49</v>
      </c>
      <c r="E364" s="6" t="s">
        <v>40</v>
      </c>
      <c r="F364" s="6">
        <v>11</v>
      </c>
      <c r="G364" s="7">
        <v>1876.41</v>
      </c>
      <c r="H364" s="7">
        <v>932.11</v>
      </c>
      <c r="I364" s="7">
        <v>20640.509999999998</v>
      </c>
      <c r="J364" s="7">
        <v>10253.209999999999</v>
      </c>
      <c r="K364" s="7">
        <v>10387.299999999999</v>
      </c>
      <c r="L364" t="e">
        <f>IF($E364="Maquillaje",$G364,NA())</f>
        <v>#N/A</v>
      </c>
      <c r="M364" t="e">
        <f>IF($E364="Maquillaje",$H364,NA())</f>
        <v>#N/A</v>
      </c>
      <c r="N364" t="e">
        <f>IF($E364="Perfumería",$G364,NA())</f>
        <v>#N/A</v>
      </c>
      <c r="O364" t="e">
        <f>IF($E364="Perfumería",$H364,NA())</f>
        <v>#N/A</v>
      </c>
      <c r="P364" s="8">
        <f>IF($E364="Cuidado Facial",$G364,NA())</f>
        <v>1876.41</v>
      </c>
      <c r="Q364" s="8">
        <f>IF($E364="Cuidado Facial",$H364,NA())</f>
        <v>932.11</v>
      </c>
      <c r="R364" t="e">
        <f>IF($E364="Capilar",$G364,NA())</f>
        <v>#N/A</v>
      </c>
      <c r="S364" t="e">
        <f>IF($E364="Capilar",$H364,NA())</f>
        <v>#N/A</v>
      </c>
      <c r="T364" s="6" t="str">
        <f t="shared" si="5"/>
        <v>Octubre</v>
      </c>
    </row>
    <row r="365" spans="1:20" ht="15" customHeight="1" x14ac:dyDescent="0.25">
      <c r="A365" s="5">
        <v>46357</v>
      </c>
      <c r="B365" s="6" t="s">
        <v>38</v>
      </c>
      <c r="C365" s="6" t="s">
        <v>31</v>
      </c>
      <c r="D365" s="6" t="s">
        <v>49</v>
      </c>
      <c r="E365" s="6" t="s">
        <v>40</v>
      </c>
      <c r="F365" s="6">
        <v>14</v>
      </c>
      <c r="G365" s="7">
        <v>1763.56</v>
      </c>
      <c r="H365" s="7">
        <v>868.79</v>
      </c>
      <c r="I365" s="7">
        <v>24689.84</v>
      </c>
      <c r="J365" s="7">
        <v>12163.06</v>
      </c>
      <c r="K365" s="7">
        <v>12526.78</v>
      </c>
      <c r="L365" t="e">
        <f>IF($E365="Maquillaje",$G365,NA())</f>
        <v>#N/A</v>
      </c>
      <c r="M365" t="e">
        <f>IF($E365="Maquillaje",$H365,NA())</f>
        <v>#N/A</v>
      </c>
      <c r="N365" t="e">
        <f>IF($E365="Perfumería",$G365,NA())</f>
        <v>#N/A</v>
      </c>
      <c r="O365" t="e">
        <f>IF($E365="Perfumería",$H365,NA())</f>
        <v>#N/A</v>
      </c>
      <c r="P365" s="8">
        <f>IF($E365="Cuidado Facial",$G365,NA())</f>
        <v>1763.56</v>
      </c>
      <c r="Q365" s="8">
        <f>IF($E365="Cuidado Facial",$H365,NA())</f>
        <v>868.79</v>
      </c>
      <c r="R365" t="e">
        <f>IF($E365="Capilar",$G365,NA())</f>
        <v>#N/A</v>
      </c>
      <c r="S365" t="e">
        <f>IF($E365="Capilar",$H365,NA())</f>
        <v>#N/A</v>
      </c>
      <c r="T365" s="6" t="str">
        <f t="shared" si="5"/>
        <v>Diciembre</v>
      </c>
    </row>
    <row r="366" spans="1:20" ht="15" customHeight="1" x14ac:dyDescent="0.25">
      <c r="A366" s="5">
        <v>46103</v>
      </c>
      <c r="B366" s="6" t="s">
        <v>41</v>
      </c>
      <c r="C366" s="6" t="s">
        <v>35</v>
      </c>
      <c r="D366" s="6" t="s">
        <v>36</v>
      </c>
      <c r="E366" s="6" t="s">
        <v>37</v>
      </c>
      <c r="F366" s="6">
        <v>15</v>
      </c>
      <c r="G366" s="7">
        <v>1567.28</v>
      </c>
      <c r="H366" s="7">
        <v>854.18</v>
      </c>
      <c r="I366" s="7">
        <v>23509.200000000001</v>
      </c>
      <c r="J366" s="7">
        <v>12812.7</v>
      </c>
      <c r="K366" s="7">
        <v>10696.5</v>
      </c>
      <c r="L366" s="8">
        <f>IF($E366="Maquillaje",$G366,NA())</f>
        <v>1567.28</v>
      </c>
      <c r="M366" s="8">
        <f>IF($E366="Maquillaje",$H366,NA())</f>
        <v>854.18</v>
      </c>
      <c r="N366" t="e">
        <f>IF($E366="Perfumería",$G366,NA())</f>
        <v>#N/A</v>
      </c>
      <c r="O366" t="e">
        <f>IF($E366="Perfumería",$H366,NA())</f>
        <v>#N/A</v>
      </c>
      <c r="P366" t="e">
        <f>IF($E366="Cuidado Facial",$G366,NA())</f>
        <v>#N/A</v>
      </c>
      <c r="Q366" t="e">
        <f>IF($E366="Cuidado Facial",$H366,NA())</f>
        <v>#N/A</v>
      </c>
      <c r="R366" t="e">
        <f>IF($E366="Capilar",$G366,NA())</f>
        <v>#N/A</v>
      </c>
      <c r="S366" t="e">
        <f>IF($E366="Capilar",$H366,NA())</f>
        <v>#N/A</v>
      </c>
      <c r="T366" s="6" t="str">
        <f t="shared" si="5"/>
        <v>Marzo</v>
      </c>
    </row>
    <row r="367" spans="1:20" ht="15" customHeight="1" x14ac:dyDescent="0.25">
      <c r="A367" s="5">
        <v>46221</v>
      </c>
      <c r="B367" s="6" t="s">
        <v>46</v>
      </c>
      <c r="C367" s="6" t="s">
        <v>31</v>
      </c>
      <c r="D367" s="6" t="s">
        <v>49</v>
      </c>
      <c r="E367" s="6" t="s">
        <v>40</v>
      </c>
      <c r="F367" s="6">
        <v>14</v>
      </c>
      <c r="G367" s="7">
        <v>1798.21</v>
      </c>
      <c r="H367" s="7">
        <v>979.07</v>
      </c>
      <c r="I367" s="7">
        <v>25174.94</v>
      </c>
      <c r="J367" s="7">
        <v>13706.98</v>
      </c>
      <c r="K367" s="7">
        <v>11467.96</v>
      </c>
      <c r="L367" t="e">
        <f>IF($E367="Maquillaje",$G367,NA())</f>
        <v>#N/A</v>
      </c>
      <c r="M367" t="e">
        <f>IF($E367="Maquillaje",$H367,NA())</f>
        <v>#N/A</v>
      </c>
      <c r="N367" t="e">
        <f>IF($E367="Perfumería",$G367,NA())</f>
        <v>#N/A</v>
      </c>
      <c r="O367" t="e">
        <f>IF($E367="Perfumería",$H367,NA())</f>
        <v>#N/A</v>
      </c>
      <c r="P367" s="8">
        <f>IF($E367="Cuidado Facial",$G367,NA())</f>
        <v>1798.21</v>
      </c>
      <c r="Q367" s="8">
        <f>IF($E367="Cuidado Facial",$H367,NA())</f>
        <v>979.07</v>
      </c>
      <c r="R367" t="e">
        <f>IF($E367="Capilar",$G367,NA())</f>
        <v>#N/A</v>
      </c>
      <c r="S367" t="e">
        <f>IF($E367="Capilar",$H367,NA())</f>
        <v>#N/A</v>
      </c>
      <c r="T367" s="6" t="str">
        <f t="shared" si="5"/>
        <v>Julio</v>
      </c>
    </row>
    <row r="368" spans="1:20" ht="15" customHeight="1" x14ac:dyDescent="0.25">
      <c r="A368" s="5">
        <v>46094</v>
      </c>
      <c r="B368" s="6" t="s">
        <v>30</v>
      </c>
      <c r="C368" s="6" t="s">
        <v>48</v>
      </c>
      <c r="D368" s="6" t="s">
        <v>42</v>
      </c>
      <c r="E368" s="6" t="s">
        <v>43</v>
      </c>
      <c r="F368" s="6">
        <v>2</v>
      </c>
      <c r="G368" s="7">
        <v>994.35</v>
      </c>
      <c r="H368" s="7">
        <v>501.13</v>
      </c>
      <c r="I368" s="7">
        <v>1988.7</v>
      </c>
      <c r="J368" s="7">
        <v>1002.26</v>
      </c>
      <c r="K368" s="7">
        <v>986.44</v>
      </c>
      <c r="L368" t="e">
        <f>IF($E368="Maquillaje",$G368,NA())</f>
        <v>#N/A</v>
      </c>
      <c r="M368" t="e">
        <f>IF($E368="Maquillaje",$H368,NA())</f>
        <v>#N/A</v>
      </c>
      <c r="N368" t="e">
        <f>IF($E368="Perfumería",$G368,NA())</f>
        <v>#N/A</v>
      </c>
      <c r="O368" t="e">
        <f>IF($E368="Perfumería",$H368,NA())</f>
        <v>#N/A</v>
      </c>
      <c r="P368" t="e">
        <f>IF($E368="Cuidado Facial",$G368,NA())</f>
        <v>#N/A</v>
      </c>
      <c r="Q368" t="e">
        <f>IF($E368="Cuidado Facial",$H368,NA())</f>
        <v>#N/A</v>
      </c>
      <c r="R368" s="8">
        <f>IF($E368="Capilar",$G368,NA())</f>
        <v>994.35</v>
      </c>
      <c r="S368" s="8">
        <f>IF($E368="Capilar",$H368,NA())</f>
        <v>501.13</v>
      </c>
      <c r="T368" s="6" t="str">
        <f t="shared" si="5"/>
        <v>Marzo</v>
      </c>
    </row>
    <row r="369" spans="1:20" ht="15" customHeight="1" x14ac:dyDescent="0.25">
      <c r="A369" s="5">
        <v>46068</v>
      </c>
      <c r="B369" s="6" t="s">
        <v>30</v>
      </c>
      <c r="C369" s="6" t="s">
        <v>35</v>
      </c>
      <c r="D369" s="6" t="s">
        <v>44</v>
      </c>
      <c r="E369" s="6" t="s">
        <v>37</v>
      </c>
      <c r="F369" s="6">
        <v>8</v>
      </c>
      <c r="G369" s="7">
        <v>1286.07</v>
      </c>
      <c r="H369" s="7">
        <v>635.15</v>
      </c>
      <c r="I369" s="7">
        <v>10288.56</v>
      </c>
      <c r="J369" s="7">
        <v>5081.2</v>
      </c>
      <c r="K369" s="7">
        <v>5207.3599999999997</v>
      </c>
      <c r="L369" s="8">
        <f>IF($E369="Maquillaje",$G369,NA())</f>
        <v>1286.07</v>
      </c>
      <c r="M369" s="8">
        <f>IF($E369="Maquillaje",$H369,NA())</f>
        <v>635.15</v>
      </c>
      <c r="N369" t="e">
        <f>IF($E369="Perfumería",$G369,NA())</f>
        <v>#N/A</v>
      </c>
      <c r="O369" t="e">
        <f>IF($E369="Perfumería",$H369,NA())</f>
        <v>#N/A</v>
      </c>
      <c r="P369" t="e">
        <f>IF($E369="Cuidado Facial",$G369,NA())</f>
        <v>#N/A</v>
      </c>
      <c r="Q369" t="e">
        <f>IF($E369="Cuidado Facial",$H369,NA())</f>
        <v>#N/A</v>
      </c>
      <c r="R369" t="e">
        <f>IF($E369="Capilar",$G369,NA())</f>
        <v>#N/A</v>
      </c>
      <c r="S369" t="e">
        <f>IF($E369="Capilar",$H369,NA())</f>
        <v>#N/A</v>
      </c>
      <c r="T369" s="6" t="str">
        <f t="shared" si="5"/>
        <v>Febrero</v>
      </c>
    </row>
    <row r="370" spans="1:20" ht="15" customHeight="1" x14ac:dyDescent="0.25">
      <c r="A370" s="5">
        <v>46328</v>
      </c>
      <c r="B370" s="6" t="s">
        <v>34</v>
      </c>
      <c r="C370" s="6" t="s">
        <v>35</v>
      </c>
      <c r="D370" s="6" t="s">
        <v>44</v>
      </c>
      <c r="E370" s="6" t="s">
        <v>37</v>
      </c>
      <c r="F370" s="6">
        <v>2</v>
      </c>
      <c r="G370" s="7">
        <v>1089.3599999999999</v>
      </c>
      <c r="H370" s="7">
        <v>627.62</v>
      </c>
      <c r="I370" s="7">
        <v>2178.7199999999998</v>
      </c>
      <c r="J370" s="7">
        <v>1255.24</v>
      </c>
      <c r="K370" s="7">
        <v>923.48</v>
      </c>
      <c r="L370" s="8">
        <f>IF($E370="Maquillaje",$G370,NA())</f>
        <v>1089.3599999999999</v>
      </c>
      <c r="M370" s="8">
        <f>IF($E370="Maquillaje",$H370,NA())</f>
        <v>627.62</v>
      </c>
      <c r="N370" t="e">
        <f>IF($E370="Perfumería",$G370,NA())</f>
        <v>#N/A</v>
      </c>
      <c r="O370" t="e">
        <f>IF($E370="Perfumería",$H370,NA())</f>
        <v>#N/A</v>
      </c>
      <c r="P370" t="e">
        <f>IF($E370="Cuidado Facial",$G370,NA())</f>
        <v>#N/A</v>
      </c>
      <c r="Q370" t="e">
        <f>IF($E370="Cuidado Facial",$H370,NA())</f>
        <v>#N/A</v>
      </c>
      <c r="R370" t="e">
        <f>IF($E370="Capilar",$G370,NA())</f>
        <v>#N/A</v>
      </c>
      <c r="S370" t="e">
        <f>IF($E370="Capilar",$H370,NA())</f>
        <v>#N/A</v>
      </c>
      <c r="T370" s="6" t="str">
        <f t="shared" si="5"/>
        <v>Noviembre</v>
      </c>
    </row>
    <row r="371" spans="1:20" ht="15" customHeight="1" x14ac:dyDescent="0.25">
      <c r="A371" s="5">
        <v>46077</v>
      </c>
      <c r="B371" s="6" t="s">
        <v>38</v>
      </c>
      <c r="C371" s="6" t="s">
        <v>31</v>
      </c>
      <c r="D371" s="6" t="s">
        <v>49</v>
      </c>
      <c r="E371" s="6" t="s">
        <v>40</v>
      </c>
      <c r="F371" s="6">
        <v>14</v>
      </c>
      <c r="G371" s="7">
        <v>1776.4</v>
      </c>
      <c r="H371" s="7">
        <v>880.36</v>
      </c>
      <c r="I371" s="7">
        <v>24869.599999999999</v>
      </c>
      <c r="J371" s="7">
        <v>12325.04</v>
      </c>
      <c r="K371" s="7">
        <v>12544.56</v>
      </c>
      <c r="L371" t="e">
        <f>IF($E371="Maquillaje",$G371,NA())</f>
        <v>#N/A</v>
      </c>
      <c r="M371" t="e">
        <f>IF($E371="Maquillaje",$H371,NA())</f>
        <v>#N/A</v>
      </c>
      <c r="N371" t="e">
        <f>IF($E371="Perfumería",$G371,NA())</f>
        <v>#N/A</v>
      </c>
      <c r="O371" t="e">
        <f>IF($E371="Perfumería",$H371,NA())</f>
        <v>#N/A</v>
      </c>
      <c r="P371" s="8">
        <f>IF($E371="Cuidado Facial",$G371,NA())</f>
        <v>1776.4</v>
      </c>
      <c r="Q371" s="8">
        <f>IF($E371="Cuidado Facial",$H371,NA())</f>
        <v>880.36</v>
      </c>
      <c r="R371" t="e">
        <f>IF($E371="Capilar",$G371,NA())</f>
        <v>#N/A</v>
      </c>
      <c r="S371" t="e">
        <f>IF($E371="Capilar",$H371,NA())</f>
        <v>#N/A</v>
      </c>
      <c r="T371" s="6" t="str">
        <f t="shared" si="5"/>
        <v>Febrero</v>
      </c>
    </row>
    <row r="372" spans="1:20" ht="15" customHeight="1" x14ac:dyDescent="0.25">
      <c r="A372" s="5">
        <v>46248</v>
      </c>
      <c r="B372" s="6" t="s">
        <v>46</v>
      </c>
      <c r="C372" s="6" t="s">
        <v>31</v>
      </c>
      <c r="D372" s="6" t="s">
        <v>45</v>
      </c>
      <c r="E372" s="6" t="s">
        <v>43</v>
      </c>
      <c r="F372" s="6">
        <v>10</v>
      </c>
      <c r="G372" s="7">
        <v>1129.33</v>
      </c>
      <c r="H372" s="7">
        <v>577.94000000000005</v>
      </c>
      <c r="I372" s="7">
        <v>11293.3</v>
      </c>
      <c r="J372" s="7">
        <v>5779.4</v>
      </c>
      <c r="K372" s="7">
        <v>5513.9</v>
      </c>
      <c r="L372" t="e">
        <f>IF($E372="Maquillaje",$G372,NA())</f>
        <v>#N/A</v>
      </c>
      <c r="M372" t="e">
        <f>IF($E372="Maquillaje",$H372,NA())</f>
        <v>#N/A</v>
      </c>
      <c r="N372" t="e">
        <f>IF($E372="Perfumería",$G372,NA())</f>
        <v>#N/A</v>
      </c>
      <c r="O372" t="e">
        <f>IF($E372="Perfumería",$H372,NA())</f>
        <v>#N/A</v>
      </c>
      <c r="P372" t="e">
        <f>IF($E372="Cuidado Facial",$G372,NA())</f>
        <v>#N/A</v>
      </c>
      <c r="Q372" t="e">
        <f>IF($E372="Cuidado Facial",$H372,NA())</f>
        <v>#N/A</v>
      </c>
      <c r="R372" s="8">
        <f>IF($E372="Capilar",$G372,NA())</f>
        <v>1129.33</v>
      </c>
      <c r="S372" s="8">
        <f>IF($E372="Capilar",$H372,NA())</f>
        <v>577.94000000000005</v>
      </c>
      <c r="T372" s="6" t="str">
        <f t="shared" si="5"/>
        <v>Agosto</v>
      </c>
    </row>
    <row r="373" spans="1:20" ht="15" customHeight="1" x14ac:dyDescent="0.25">
      <c r="A373" s="5">
        <v>46208</v>
      </c>
      <c r="B373" s="6" t="s">
        <v>46</v>
      </c>
      <c r="C373" s="6" t="s">
        <v>31</v>
      </c>
      <c r="D373" s="6" t="s">
        <v>42</v>
      </c>
      <c r="E373" s="6" t="s">
        <v>43</v>
      </c>
      <c r="F373" s="6">
        <v>8</v>
      </c>
      <c r="G373" s="7">
        <v>1036.55</v>
      </c>
      <c r="H373" s="7">
        <v>521.17999999999995</v>
      </c>
      <c r="I373" s="7">
        <v>8292.4</v>
      </c>
      <c r="J373" s="7">
        <v>4169.4399999999996</v>
      </c>
      <c r="K373" s="7">
        <v>4122.96</v>
      </c>
      <c r="L373" t="e">
        <f>IF($E373="Maquillaje",$G373,NA())</f>
        <v>#N/A</v>
      </c>
      <c r="M373" t="e">
        <f>IF($E373="Maquillaje",$H373,NA())</f>
        <v>#N/A</v>
      </c>
      <c r="N373" t="e">
        <f>IF($E373="Perfumería",$G373,NA())</f>
        <v>#N/A</v>
      </c>
      <c r="O373" t="e">
        <f>IF($E373="Perfumería",$H373,NA())</f>
        <v>#N/A</v>
      </c>
      <c r="P373" t="e">
        <f>IF($E373="Cuidado Facial",$G373,NA())</f>
        <v>#N/A</v>
      </c>
      <c r="Q373" t="e">
        <f>IF($E373="Cuidado Facial",$H373,NA())</f>
        <v>#N/A</v>
      </c>
      <c r="R373" s="8">
        <f>IF($E373="Capilar",$G373,NA())</f>
        <v>1036.55</v>
      </c>
      <c r="S373" s="8">
        <f>IF($E373="Capilar",$H373,NA())</f>
        <v>521.17999999999995</v>
      </c>
      <c r="T373" s="6" t="str">
        <f t="shared" si="5"/>
        <v>Julio</v>
      </c>
    </row>
    <row r="374" spans="1:20" ht="15" customHeight="1" x14ac:dyDescent="0.25">
      <c r="A374" s="5">
        <v>46160</v>
      </c>
      <c r="B374" s="6" t="s">
        <v>30</v>
      </c>
      <c r="C374" s="6" t="s">
        <v>31</v>
      </c>
      <c r="D374" s="6" t="s">
        <v>49</v>
      </c>
      <c r="E374" s="6" t="s">
        <v>40</v>
      </c>
      <c r="F374" s="6">
        <v>11</v>
      </c>
      <c r="G374" s="7">
        <v>1892.72</v>
      </c>
      <c r="H374" s="7">
        <v>857.21</v>
      </c>
      <c r="I374" s="7">
        <v>20819.919999999998</v>
      </c>
      <c r="J374" s="7">
        <v>9429.31</v>
      </c>
      <c r="K374" s="7">
        <v>11390.61</v>
      </c>
      <c r="L374" t="e">
        <f>IF($E374="Maquillaje",$G374,NA())</f>
        <v>#N/A</v>
      </c>
      <c r="M374" t="e">
        <f>IF($E374="Maquillaje",$H374,NA())</f>
        <v>#N/A</v>
      </c>
      <c r="N374" t="e">
        <f>IF($E374="Perfumería",$G374,NA())</f>
        <v>#N/A</v>
      </c>
      <c r="O374" t="e">
        <f>IF($E374="Perfumería",$H374,NA())</f>
        <v>#N/A</v>
      </c>
      <c r="P374" s="8">
        <f>IF($E374="Cuidado Facial",$G374,NA())</f>
        <v>1892.72</v>
      </c>
      <c r="Q374" s="8">
        <f>IF($E374="Cuidado Facial",$H374,NA())</f>
        <v>857.21</v>
      </c>
      <c r="R374" t="e">
        <f>IF($E374="Capilar",$G374,NA())</f>
        <v>#N/A</v>
      </c>
      <c r="S374" t="e">
        <f>IF($E374="Capilar",$H374,NA())</f>
        <v>#N/A</v>
      </c>
      <c r="T374" s="6" t="str">
        <f t="shared" si="5"/>
        <v>Mayo</v>
      </c>
    </row>
    <row r="375" spans="1:20" ht="15" customHeight="1" x14ac:dyDescent="0.25">
      <c r="A375" s="5">
        <v>46273</v>
      </c>
      <c r="B375" s="6" t="s">
        <v>30</v>
      </c>
      <c r="C375" s="6" t="s">
        <v>35</v>
      </c>
      <c r="D375" s="6" t="s">
        <v>47</v>
      </c>
      <c r="E375" s="6" t="s">
        <v>33</v>
      </c>
      <c r="F375" s="6">
        <v>13</v>
      </c>
      <c r="G375" s="7">
        <v>2932.87</v>
      </c>
      <c r="H375" s="7">
        <v>1572.59</v>
      </c>
      <c r="I375" s="7">
        <v>38127.31</v>
      </c>
      <c r="J375" s="7">
        <v>20443.669999999998</v>
      </c>
      <c r="K375" s="7">
        <v>17683.64</v>
      </c>
      <c r="L375" t="e">
        <f>IF($E375="Maquillaje",$G375,NA())</f>
        <v>#N/A</v>
      </c>
      <c r="M375" t="e">
        <f>IF($E375="Maquillaje",$H375,NA())</f>
        <v>#N/A</v>
      </c>
      <c r="N375">
        <f>IF($E375="Perfumería",$G375,NA())</f>
        <v>2932.87</v>
      </c>
      <c r="O375">
        <f>IF($E375="Perfumería",$H375,NA())</f>
        <v>1572.59</v>
      </c>
      <c r="P375" t="e">
        <f>IF($E375="Cuidado Facial",$G375,NA())</f>
        <v>#N/A</v>
      </c>
      <c r="Q375" t="e">
        <f>IF($E375="Cuidado Facial",$H375,NA())</f>
        <v>#N/A</v>
      </c>
      <c r="R375" t="e">
        <f>IF($E375="Capilar",$G375,NA())</f>
        <v>#N/A</v>
      </c>
      <c r="S375" t="e">
        <f>IF($E375="Capilar",$H375,NA())</f>
        <v>#N/A</v>
      </c>
      <c r="T375" s="6" t="str">
        <f t="shared" si="5"/>
        <v>Septiembre</v>
      </c>
    </row>
    <row r="376" spans="1:20" ht="15" customHeight="1" x14ac:dyDescent="0.25">
      <c r="A376" s="5">
        <v>46025</v>
      </c>
      <c r="B376" s="6" t="s">
        <v>30</v>
      </c>
      <c r="C376" s="6" t="s">
        <v>48</v>
      </c>
      <c r="D376" s="6" t="s">
        <v>39</v>
      </c>
      <c r="E376" s="6" t="s">
        <v>40</v>
      </c>
      <c r="F376" s="6">
        <v>10</v>
      </c>
      <c r="G376" s="7">
        <v>2255.9299999999998</v>
      </c>
      <c r="H376" s="7">
        <v>1037.78</v>
      </c>
      <c r="I376" s="7">
        <v>22559.3</v>
      </c>
      <c r="J376" s="7">
        <v>10377.799999999999</v>
      </c>
      <c r="K376" s="7">
        <v>12181.5</v>
      </c>
      <c r="L376" t="e">
        <f>IF($E376="Maquillaje",$G376,NA())</f>
        <v>#N/A</v>
      </c>
      <c r="M376" t="e">
        <f>IF($E376="Maquillaje",$H376,NA())</f>
        <v>#N/A</v>
      </c>
      <c r="N376" t="e">
        <f>IF($E376="Perfumería",$G376,NA())</f>
        <v>#N/A</v>
      </c>
      <c r="O376" t="e">
        <f>IF($E376="Perfumería",$H376,NA())</f>
        <v>#N/A</v>
      </c>
      <c r="P376" s="8">
        <f>IF($E376="Cuidado Facial",$G376,NA())</f>
        <v>2255.9299999999998</v>
      </c>
      <c r="Q376" s="8">
        <f>IF($E376="Cuidado Facial",$H376,NA())</f>
        <v>1037.78</v>
      </c>
      <c r="R376" t="e">
        <f>IF($E376="Capilar",$G376,NA())</f>
        <v>#N/A</v>
      </c>
      <c r="S376" t="e">
        <f>IF($E376="Capilar",$H376,NA())</f>
        <v>#N/A</v>
      </c>
      <c r="T376" s="6" t="str">
        <f t="shared" si="5"/>
        <v>Enero</v>
      </c>
    </row>
    <row r="377" spans="1:20" ht="15" customHeight="1" x14ac:dyDescent="0.25">
      <c r="A377" s="5">
        <v>46355</v>
      </c>
      <c r="B377" s="6" t="s">
        <v>30</v>
      </c>
      <c r="C377" s="6" t="s">
        <v>35</v>
      </c>
      <c r="D377" s="6" t="s">
        <v>32</v>
      </c>
      <c r="E377" s="6" t="s">
        <v>33</v>
      </c>
      <c r="F377" s="6">
        <v>11</v>
      </c>
      <c r="G377" s="7">
        <v>3235.54</v>
      </c>
      <c r="H377" s="7">
        <v>1848.72</v>
      </c>
      <c r="I377" s="7">
        <v>35590.94</v>
      </c>
      <c r="J377" s="7">
        <v>20335.919999999998</v>
      </c>
      <c r="K377" s="7">
        <v>15255.02</v>
      </c>
      <c r="L377" t="e">
        <f>IF($E377="Maquillaje",$G377,NA())</f>
        <v>#N/A</v>
      </c>
      <c r="M377" t="e">
        <f>IF($E377="Maquillaje",$H377,NA())</f>
        <v>#N/A</v>
      </c>
      <c r="N377" s="8">
        <f>IF($E377="Perfumería",$G377,NA())</f>
        <v>3235.54</v>
      </c>
      <c r="O377" s="8">
        <f>IF($E377="Perfumería",$H377,NA())</f>
        <v>1848.72</v>
      </c>
      <c r="P377" t="e">
        <f>IF($E377="Cuidado Facial",$G377,NA())</f>
        <v>#N/A</v>
      </c>
      <c r="Q377" t="e">
        <f>IF($E377="Cuidado Facial",$H377,NA())</f>
        <v>#N/A</v>
      </c>
      <c r="R377" t="e">
        <f>IF($E377="Capilar",$G377,NA())</f>
        <v>#N/A</v>
      </c>
      <c r="S377" t="e">
        <f>IF($E377="Capilar",$H377,NA())</f>
        <v>#N/A</v>
      </c>
      <c r="T377" s="6" t="str">
        <f t="shared" si="5"/>
        <v>Noviembre</v>
      </c>
    </row>
    <row r="378" spans="1:20" ht="15" customHeight="1" x14ac:dyDescent="0.25">
      <c r="A378" s="5">
        <v>46292</v>
      </c>
      <c r="B378" s="6" t="s">
        <v>46</v>
      </c>
      <c r="C378" s="6" t="s">
        <v>31</v>
      </c>
      <c r="D378" s="6" t="s">
        <v>49</v>
      </c>
      <c r="E378" s="6" t="s">
        <v>40</v>
      </c>
      <c r="F378" s="6">
        <v>11</v>
      </c>
      <c r="G378" s="7">
        <v>1962</v>
      </c>
      <c r="H378" s="7">
        <v>895.1</v>
      </c>
      <c r="I378" s="7">
        <v>21582</v>
      </c>
      <c r="J378" s="7">
        <v>9846.1</v>
      </c>
      <c r="K378" s="7">
        <v>11735.9</v>
      </c>
      <c r="L378" t="e">
        <f>IF($E378="Maquillaje",$G378,NA())</f>
        <v>#N/A</v>
      </c>
      <c r="M378" t="e">
        <f>IF($E378="Maquillaje",$H378,NA())</f>
        <v>#N/A</v>
      </c>
      <c r="N378" t="e">
        <f>IF($E378="Perfumería",$G378,NA())</f>
        <v>#N/A</v>
      </c>
      <c r="O378" t="e">
        <f>IF($E378="Perfumería",$H378,NA())</f>
        <v>#N/A</v>
      </c>
      <c r="P378" s="8">
        <f>IF($E378="Cuidado Facial",$G378,NA())</f>
        <v>1962</v>
      </c>
      <c r="Q378" s="8">
        <f>IF($E378="Cuidado Facial",$H378,NA())</f>
        <v>895.1</v>
      </c>
      <c r="R378" t="e">
        <f>IF($E378="Capilar",$G378,NA())</f>
        <v>#N/A</v>
      </c>
      <c r="S378" t="e">
        <f>IF($E378="Capilar",$H378,NA())</f>
        <v>#N/A</v>
      </c>
      <c r="T378" s="6" t="str">
        <f t="shared" si="5"/>
        <v>Septiembre</v>
      </c>
    </row>
    <row r="379" spans="1:20" ht="15" customHeight="1" x14ac:dyDescent="0.25">
      <c r="A379" s="5">
        <v>46370</v>
      </c>
      <c r="B379" s="6" t="s">
        <v>46</v>
      </c>
      <c r="C379" s="6" t="s">
        <v>31</v>
      </c>
      <c r="D379" s="6" t="s">
        <v>42</v>
      </c>
      <c r="E379" s="6" t="s">
        <v>43</v>
      </c>
      <c r="F379" s="6">
        <v>5</v>
      </c>
      <c r="G379" s="7">
        <v>1009.84</v>
      </c>
      <c r="H379" s="7">
        <v>435.19</v>
      </c>
      <c r="I379" s="7">
        <v>5049.2</v>
      </c>
      <c r="J379" s="7">
        <v>2175.9499999999998</v>
      </c>
      <c r="K379" s="7">
        <v>2873.25</v>
      </c>
      <c r="L379" t="e">
        <f>IF($E379="Maquillaje",$G379,NA())</f>
        <v>#N/A</v>
      </c>
      <c r="M379" t="e">
        <f>IF($E379="Maquillaje",$H379,NA())</f>
        <v>#N/A</v>
      </c>
      <c r="N379" t="e">
        <f>IF($E379="Perfumería",$G379,NA())</f>
        <v>#N/A</v>
      </c>
      <c r="O379" t="e">
        <f>IF($E379="Perfumería",$H379,NA())</f>
        <v>#N/A</v>
      </c>
      <c r="P379" t="e">
        <f>IF($E379="Cuidado Facial",$G379,NA())</f>
        <v>#N/A</v>
      </c>
      <c r="Q379" t="e">
        <f>IF($E379="Cuidado Facial",$H379,NA())</f>
        <v>#N/A</v>
      </c>
      <c r="R379" s="8">
        <f>IF($E379="Capilar",$G379,NA())</f>
        <v>1009.84</v>
      </c>
      <c r="S379" s="8">
        <f>IF($E379="Capilar",$H379,NA())</f>
        <v>435.19</v>
      </c>
      <c r="T379" s="6" t="str">
        <f t="shared" si="5"/>
        <v>Diciembre</v>
      </c>
    </row>
    <row r="380" spans="1:20" ht="15" customHeight="1" x14ac:dyDescent="0.25">
      <c r="A380" s="5">
        <v>46040</v>
      </c>
      <c r="B380" s="6" t="s">
        <v>38</v>
      </c>
      <c r="C380" s="6" t="s">
        <v>31</v>
      </c>
      <c r="D380" s="6" t="s">
        <v>39</v>
      </c>
      <c r="E380" s="6" t="s">
        <v>40</v>
      </c>
      <c r="F380" s="6">
        <v>14</v>
      </c>
      <c r="G380" s="7">
        <v>2281.77</v>
      </c>
      <c r="H380" s="7">
        <v>983.91</v>
      </c>
      <c r="I380" s="7">
        <v>31944.78</v>
      </c>
      <c r="J380" s="7">
        <v>13774.74</v>
      </c>
      <c r="K380" s="7">
        <v>18170.04</v>
      </c>
      <c r="L380" t="e">
        <f>IF($E380="Maquillaje",$G380,NA())</f>
        <v>#N/A</v>
      </c>
      <c r="M380" t="e">
        <f>IF($E380="Maquillaje",$H380,NA())</f>
        <v>#N/A</v>
      </c>
      <c r="N380" t="e">
        <f>IF($E380="Perfumería",$G380,NA())</f>
        <v>#N/A</v>
      </c>
      <c r="O380" t="e">
        <f>IF($E380="Perfumería",$H380,NA())</f>
        <v>#N/A</v>
      </c>
      <c r="P380" s="8">
        <f>IF($E380="Cuidado Facial",$G380,NA())</f>
        <v>2281.77</v>
      </c>
      <c r="Q380" s="8">
        <f>IF($E380="Cuidado Facial",$H380,NA())</f>
        <v>983.91</v>
      </c>
      <c r="R380" t="e">
        <f>IF($E380="Capilar",$G380,NA())</f>
        <v>#N/A</v>
      </c>
      <c r="S380" t="e">
        <f>IF($E380="Capilar",$H380,NA())</f>
        <v>#N/A</v>
      </c>
      <c r="T380" s="6" t="str">
        <f t="shared" si="5"/>
        <v>Enero</v>
      </c>
    </row>
    <row r="381" spans="1:20" ht="15" customHeight="1" x14ac:dyDescent="0.25">
      <c r="A381" s="5">
        <v>46118</v>
      </c>
      <c r="B381" s="6" t="s">
        <v>34</v>
      </c>
      <c r="C381" s="6" t="s">
        <v>35</v>
      </c>
      <c r="D381" s="6" t="s">
        <v>47</v>
      </c>
      <c r="E381" s="6" t="s">
        <v>33</v>
      </c>
      <c r="F381" s="6">
        <v>8</v>
      </c>
      <c r="G381" s="7">
        <v>3428.84</v>
      </c>
      <c r="H381" s="7">
        <v>1511.63</v>
      </c>
      <c r="I381" s="7">
        <v>27430.720000000001</v>
      </c>
      <c r="J381" s="7">
        <v>12093.04</v>
      </c>
      <c r="K381" s="7">
        <v>15337.68</v>
      </c>
      <c r="L381" t="e">
        <f>IF($E381="Maquillaje",$G381,NA())</f>
        <v>#N/A</v>
      </c>
      <c r="M381" t="e">
        <f>IF($E381="Maquillaje",$H381,NA())</f>
        <v>#N/A</v>
      </c>
      <c r="N381" s="8">
        <f>IF($E381="Perfumería",$G381,NA())</f>
        <v>3428.84</v>
      </c>
      <c r="O381" s="8">
        <f>IF($E381="Perfumería",$H381,NA())</f>
        <v>1511.63</v>
      </c>
      <c r="P381" t="e">
        <f>IF($E381="Cuidado Facial",$G381,NA())</f>
        <v>#N/A</v>
      </c>
      <c r="Q381" t="e">
        <f>IF($E381="Cuidado Facial",$H381,NA())</f>
        <v>#N/A</v>
      </c>
      <c r="R381" t="e">
        <f>IF($E381="Capilar",$G381,NA())</f>
        <v>#N/A</v>
      </c>
      <c r="S381" t="e">
        <f>IF($E381="Capilar",$H381,NA())</f>
        <v>#N/A</v>
      </c>
      <c r="T381" s="6" t="str">
        <f t="shared" si="5"/>
        <v>Abril</v>
      </c>
    </row>
    <row r="382" spans="1:20" ht="15" customHeight="1" x14ac:dyDescent="0.25">
      <c r="A382" s="5">
        <v>46336</v>
      </c>
      <c r="B382" s="6" t="s">
        <v>30</v>
      </c>
      <c r="C382" s="6" t="s">
        <v>31</v>
      </c>
      <c r="D382" s="6" t="s">
        <v>45</v>
      </c>
      <c r="E382" s="6" t="s">
        <v>43</v>
      </c>
      <c r="F382" s="6">
        <v>2</v>
      </c>
      <c r="G382" s="7">
        <v>1081.5899999999999</v>
      </c>
      <c r="H382" s="7">
        <v>556.6</v>
      </c>
      <c r="I382" s="7">
        <v>2163.1799999999998</v>
      </c>
      <c r="J382" s="7">
        <v>1113.2</v>
      </c>
      <c r="K382" s="7">
        <v>1049.98</v>
      </c>
      <c r="L382" t="e">
        <f>IF($E382="Maquillaje",$G382,NA())</f>
        <v>#N/A</v>
      </c>
      <c r="M382" t="e">
        <f>IF($E382="Maquillaje",$H382,NA())</f>
        <v>#N/A</v>
      </c>
      <c r="N382" t="e">
        <f>IF($E382="Perfumería",$G382,NA())</f>
        <v>#N/A</v>
      </c>
      <c r="O382" t="e">
        <f>IF($E382="Perfumería",$H382,NA())</f>
        <v>#N/A</v>
      </c>
      <c r="P382" t="e">
        <f>IF($E382="Cuidado Facial",$G382,NA())</f>
        <v>#N/A</v>
      </c>
      <c r="Q382" t="e">
        <f>IF($E382="Cuidado Facial",$H382,NA())</f>
        <v>#N/A</v>
      </c>
      <c r="R382" s="8">
        <f>IF($E382="Capilar",$G382,NA())</f>
        <v>1081.5899999999999</v>
      </c>
      <c r="S382" s="8">
        <f>IF($E382="Capilar",$H382,NA())</f>
        <v>556.6</v>
      </c>
      <c r="T382" s="6" t="str">
        <f t="shared" si="5"/>
        <v>Noviembre</v>
      </c>
    </row>
    <row r="383" spans="1:20" ht="15" customHeight="1" x14ac:dyDescent="0.25">
      <c r="A383" s="5">
        <v>46357</v>
      </c>
      <c r="B383" s="6" t="s">
        <v>46</v>
      </c>
      <c r="C383" s="6" t="s">
        <v>31</v>
      </c>
      <c r="D383" s="6" t="s">
        <v>47</v>
      </c>
      <c r="E383" s="6" t="s">
        <v>33</v>
      </c>
      <c r="F383" s="6">
        <v>11</v>
      </c>
      <c r="G383" s="7">
        <v>2956.63</v>
      </c>
      <c r="H383" s="7">
        <v>1541.84</v>
      </c>
      <c r="I383" s="7">
        <v>32522.93</v>
      </c>
      <c r="J383" s="7">
        <v>16960.240000000002</v>
      </c>
      <c r="K383" s="7">
        <v>15562.69</v>
      </c>
      <c r="L383" t="e">
        <f>IF($E383="Maquillaje",$G383,NA())</f>
        <v>#N/A</v>
      </c>
      <c r="M383" t="e">
        <f>IF($E383="Maquillaje",$H383,NA())</f>
        <v>#N/A</v>
      </c>
      <c r="N383" s="8">
        <f>IF($E383="Perfumería",$G383,NA())</f>
        <v>2956.63</v>
      </c>
      <c r="O383" s="8">
        <f>IF($E383="Perfumería",$H383,NA())</f>
        <v>1541.84</v>
      </c>
      <c r="P383" t="e">
        <f>IF($E383="Cuidado Facial",$G383,NA())</f>
        <v>#N/A</v>
      </c>
      <c r="Q383" t="e">
        <f>IF($E383="Cuidado Facial",$H383,NA())</f>
        <v>#N/A</v>
      </c>
      <c r="R383" t="e">
        <f>IF($E383="Capilar",$G383,NA())</f>
        <v>#N/A</v>
      </c>
      <c r="S383" t="e">
        <f>IF($E383="Capilar",$H383,NA())</f>
        <v>#N/A</v>
      </c>
      <c r="T383" s="6" t="str">
        <f t="shared" si="5"/>
        <v>Diciembre</v>
      </c>
    </row>
    <row r="384" spans="1:20" ht="15" customHeight="1" x14ac:dyDescent="0.25">
      <c r="A384" s="5">
        <v>46263</v>
      </c>
      <c r="B384" s="6" t="s">
        <v>34</v>
      </c>
      <c r="C384" s="6" t="s">
        <v>35</v>
      </c>
      <c r="D384" s="6" t="s">
        <v>45</v>
      </c>
      <c r="E384" s="6" t="s">
        <v>43</v>
      </c>
      <c r="F384" s="6">
        <v>6</v>
      </c>
      <c r="G384" s="7">
        <v>1025.67</v>
      </c>
      <c r="H384" s="7">
        <v>603.24</v>
      </c>
      <c r="I384" s="7">
        <v>6154.02</v>
      </c>
      <c r="J384" s="7">
        <v>3619.44</v>
      </c>
      <c r="K384" s="7">
        <v>2534.58</v>
      </c>
      <c r="L384" t="e">
        <f>IF($E384="Maquillaje",$G384,NA())</f>
        <v>#N/A</v>
      </c>
      <c r="M384" t="e">
        <f>IF($E384="Maquillaje",$H384,NA())</f>
        <v>#N/A</v>
      </c>
      <c r="N384" t="e">
        <f>IF($E384="Perfumería",$G384,NA())</f>
        <v>#N/A</v>
      </c>
      <c r="O384" t="e">
        <f>IF($E384="Perfumería",$H384,NA())</f>
        <v>#N/A</v>
      </c>
      <c r="P384" t="e">
        <f>IF($E384="Cuidado Facial",$G384,NA())</f>
        <v>#N/A</v>
      </c>
      <c r="Q384" t="e">
        <f>IF($E384="Cuidado Facial",$H384,NA())</f>
        <v>#N/A</v>
      </c>
      <c r="R384" s="8">
        <f>IF($E384="Capilar",$G384,NA())</f>
        <v>1025.67</v>
      </c>
      <c r="S384" s="8">
        <f>IF($E384="Capilar",$H384,NA())</f>
        <v>603.24</v>
      </c>
      <c r="T384" s="6" t="str">
        <f t="shared" si="5"/>
        <v>Agosto</v>
      </c>
    </row>
    <row r="385" spans="1:20" ht="15" customHeight="1" x14ac:dyDescent="0.25">
      <c r="A385" s="5">
        <v>46094</v>
      </c>
      <c r="B385" s="6" t="s">
        <v>41</v>
      </c>
      <c r="C385" s="6" t="s">
        <v>35</v>
      </c>
      <c r="D385" s="6" t="s">
        <v>47</v>
      </c>
      <c r="E385" s="6" t="s">
        <v>33</v>
      </c>
      <c r="F385" s="6">
        <v>13</v>
      </c>
      <c r="G385" s="7">
        <v>2898.34</v>
      </c>
      <c r="H385" s="7">
        <v>1505.46</v>
      </c>
      <c r="I385" s="7">
        <v>37678.42</v>
      </c>
      <c r="J385" s="7">
        <v>19570.98</v>
      </c>
      <c r="K385" s="7">
        <v>18107.439999999999</v>
      </c>
      <c r="L385" t="e">
        <f>IF($E385="Maquillaje",$G385,NA())</f>
        <v>#N/A</v>
      </c>
      <c r="M385" t="e">
        <f>IF($E385="Maquillaje",$H385,NA())</f>
        <v>#N/A</v>
      </c>
      <c r="N385">
        <f>IF($E385="Perfumería",$G385,NA())</f>
        <v>2898.34</v>
      </c>
      <c r="O385">
        <f>IF($E385="Perfumería",$H385,NA())</f>
        <v>1505.46</v>
      </c>
      <c r="P385" t="e">
        <f>IF($E385="Cuidado Facial",$G385,NA())</f>
        <v>#N/A</v>
      </c>
      <c r="Q385" t="e">
        <f>IF($E385="Cuidado Facial",$H385,NA())</f>
        <v>#N/A</v>
      </c>
      <c r="R385" t="e">
        <f>IF($E385="Capilar",$G385,NA())</f>
        <v>#N/A</v>
      </c>
      <c r="S385" t="e">
        <f>IF($E385="Capilar",$H385,NA())</f>
        <v>#N/A</v>
      </c>
      <c r="T385" s="6" t="str">
        <f t="shared" si="5"/>
        <v>Marzo</v>
      </c>
    </row>
    <row r="386" spans="1:20" ht="15" customHeight="1" x14ac:dyDescent="0.25">
      <c r="A386" s="5">
        <v>46311</v>
      </c>
      <c r="B386" s="6" t="s">
        <v>46</v>
      </c>
      <c r="C386" s="6" t="s">
        <v>31</v>
      </c>
      <c r="D386" s="6" t="s">
        <v>32</v>
      </c>
      <c r="E386" s="6" t="s">
        <v>33</v>
      </c>
      <c r="F386" s="6">
        <v>14</v>
      </c>
      <c r="G386" s="7">
        <v>3512.13</v>
      </c>
      <c r="H386" s="7">
        <v>1636.21</v>
      </c>
      <c r="I386" s="7">
        <v>49169.82</v>
      </c>
      <c r="J386" s="7">
        <v>22906.94</v>
      </c>
      <c r="K386" s="7">
        <v>26262.880000000001</v>
      </c>
      <c r="L386" t="e">
        <f>IF($E386="Maquillaje",$G386,NA())</f>
        <v>#N/A</v>
      </c>
      <c r="M386" t="e">
        <f>IF($E386="Maquillaje",$H386,NA())</f>
        <v>#N/A</v>
      </c>
      <c r="N386" s="8">
        <f>IF($E386="Perfumería",$G386,NA())</f>
        <v>3512.13</v>
      </c>
      <c r="O386" s="8">
        <f>IF($E386="Perfumería",$H386,NA())</f>
        <v>1636.21</v>
      </c>
      <c r="P386" t="e">
        <f>IF($E386="Cuidado Facial",$G386,NA())</f>
        <v>#N/A</v>
      </c>
      <c r="Q386" t="e">
        <f>IF($E386="Cuidado Facial",$H386,NA())</f>
        <v>#N/A</v>
      </c>
      <c r="R386" t="e">
        <f>IF($E386="Capilar",$G386,NA())</f>
        <v>#N/A</v>
      </c>
      <c r="S386" t="e">
        <f>IF($E386="Capilar",$H386,NA())</f>
        <v>#N/A</v>
      </c>
      <c r="T386" s="6" t="str">
        <f t="shared" ref="T386:T396" si="6">CHOOSE(MONTH(A386),"Enero","Febrero","Marzo","Abril","Mayo","Junio","Julio","Agosto","Septiembre","Octubre","Noviembre","Diciembre")</f>
        <v>Octubre</v>
      </c>
    </row>
    <row r="387" spans="1:20" ht="15" customHeight="1" x14ac:dyDescent="0.25">
      <c r="A387" s="5">
        <v>46386</v>
      </c>
      <c r="B387" s="6" t="s">
        <v>46</v>
      </c>
      <c r="C387" s="6" t="s">
        <v>31</v>
      </c>
      <c r="D387" s="6" t="s">
        <v>44</v>
      </c>
      <c r="E387" s="6" t="s">
        <v>37</v>
      </c>
      <c r="F387" s="6">
        <v>9</v>
      </c>
      <c r="G387" s="7">
        <v>1097.02</v>
      </c>
      <c r="H387" s="7">
        <v>651.94000000000005</v>
      </c>
      <c r="I387" s="7">
        <v>9873.18</v>
      </c>
      <c r="J387" s="7">
        <v>5867.46</v>
      </c>
      <c r="K387" s="7">
        <v>4005.72</v>
      </c>
      <c r="L387" s="8">
        <f>IF($E387="Maquillaje",$G387,NA())</f>
        <v>1097.02</v>
      </c>
      <c r="M387" s="8">
        <f>IF($E387="Maquillaje",$H387,NA())</f>
        <v>651.94000000000005</v>
      </c>
      <c r="N387" t="e">
        <f>IF($E387="Perfumería",$G387,NA())</f>
        <v>#N/A</v>
      </c>
      <c r="O387" t="e">
        <f>IF($E387="Perfumería",$H387,NA())</f>
        <v>#N/A</v>
      </c>
      <c r="P387" t="e">
        <f>IF($E387="Cuidado Facial",$G387,NA())</f>
        <v>#N/A</v>
      </c>
      <c r="Q387" t="e">
        <f>IF($E387="Cuidado Facial",$H387,NA())</f>
        <v>#N/A</v>
      </c>
      <c r="R387" t="e">
        <f>IF($E387="Capilar",$G387,NA())</f>
        <v>#N/A</v>
      </c>
      <c r="S387" t="e">
        <f>IF($E387="Capilar",$H387,NA())</f>
        <v>#N/A</v>
      </c>
      <c r="T387" s="6" t="str">
        <f t="shared" si="6"/>
        <v>Diciembre</v>
      </c>
    </row>
    <row r="388" spans="1:20" ht="15" customHeight="1" x14ac:dyDescent="0.25">
      <c r="A388" s="5">
        <v>46079</v>
      </c>
      <c r="B388" s="6" t="s">
        <v>30</v>
      </c>
      <c r="C388" s="6" t="s">
        <v>48</v>
      </c>
      <c r="D388" s="6" t="s">
        <v>39</v>
      </c>
      <c r="E388" s="6" t="s">
        <v>40</v>
      </c>
      <c r="F388" s="6">
        <v>7</v>
      </c>
      <c r="G388" s="7">
        <v>1926.77</v>
      </c>
      <c r="H388" s="7">
        <v>1003.9</v>
      </c>
      <c r="I388" s="7">
        <v>13487.39</v>
      </c>
      <c r="J388" s="7">
        <v>7027.3</v>
      </c>
      <c r="K388" s="7">
        <v>6460.09</v>
      </c>
      <c r="L388" t="e">
        <f>IF($E388="Maquillaje",$G388,NA())</f>
        <v>#N/A</v>
      </c>
      <c r="M388" t="e">
        <f>IF($E388="Maquillaje",$H388,NA())</f>
        <v>#N/A</v>
      </c>
      <c r="N388" t="e">
        <f>IF($E388="Perfumería",$G388,NA())</f>
        <v>#N/A</v>
      </c>
      <c r="O388" t="e">
        <f>IF($E388="Perfumería",$H388,NA())</f>
        <v>#N/A</v>
      </c>
      <c r="P388" s="8">
        <f>IF($E388="Cuidado Facial",$G388,NA())</f>
        <v>1926.77</v>
      </c>
      <c r="Q388" s="8">
        <f>IF($E388="Cuidado Facial",$H388,NA())</f>
        <v>1003.9</v>
      </c>
      <c r="R388" t="e">
        <f>IF($E388="Capilar",$G388,NA())</f>
        <v>#N/A</v>
      </c>
      <c r="S388" t="e">
        <f>IF($E388="Capilar",$H388,NA())</f>
        <v>#N/A</v>
      </c>
      <c r="T388" s="6" t="str">
        <f t="shared" si="6"/>
        <v>Febrero</v>
      </c>
    </row>
    <row r="389" spans="1:20" ht="15" customHeight="1" x14ac:dyDescent="0.25">
      <c r="A389" s="5">
        <v>46202</v>
      </c>
      <c r="B389" s="6" t="s">
        <v>38</v>
      </c>
      <c r="C389" s="6" t="s">
        <v>31</v>
      </c>
      <c r="D389" s="6" t="s">
        <v>32</v>
      </c>
      <c r="E389" s="6" t="s">
        <v>33</v>
      </c>
      <c r="F389" s="6">
        <v>15</v>
      </c>
      <c r="G389" s="7">
        <v>3625.96</v>
      </c>
      <c r="H389" s="7">
        <v>1610.58</v>
      </c>
      <c r="I389" s="7">
        <v>54389.4</v>
      </c>
      <c r="J389" s="7">
        <v>24158.7</v>
      </c>
      <c r="K389" s="7">
        <v>30230.7</v>
      </c>
      <c r="L389" t="e">
        <f>IF($E389="Maquillaje",$G389,NA())</f>
        <v>#N/A</v>
      </c>
      <c r="M389" t="e">
        <f>IF($E389="Maquillaje",$H389,NA())</f>
        <v>#N/A</v>
      </c>
      <c r="N389" s="8">
        <f>IF($E389="Perfumería",$G389,NA())</f>
        <v>3625.96</v>
      </c>
      <c r="O389" s="8">
        <f>IF($E389="Perfumería",$H389,NA())</f>
        <v>1610.58</v>
      </c>
      <c r="P389" t="e">
        <f>IF($E389="Cuidado Facial",$G389,NA())</f>
        <v>#N/A</v>
      </c>
      <c r="Q389" t="e">
        <f>IF($E389="Cuidado Facial",$H389,NA())</f>
        <v>#N/A</v>
      </c>
      <c r="R389" t="e">
        <f>IF($E389="Capilar",$G389,NA())</f>
        <v>#N/A</v>
      </c>
      <c r="S389" t="e">
        <f>IF($E389="Capilar",$H389,NA())</f>
        <v>#N/A</v>
      </c>
      <c r="T389" s="6" t="str">
        <f t="shared" si="6"/>
        <v>Junio</v>
      </c>
    </row>
    <row r="390" spans="1:20" ht="15" customHeight="1" x14ac:dyDescent="0.25">
      <c r="A390" s="5">
        <v>46286</v>
      </c>
      <c r="B390" s="6" t="s">
        <v>46</v>
      </c>
      <c r="C390" s="6" t="s">
        <v>31</v>
      </c>
      <c r="D390" s="6" t="s">
        <v>44</v>
      </c>
      <c r="E390" s="6" t="s">
        <v>37</v>
      </c>
      <c r="F390" s="6">
        <v>10</v>
      </c>
      <c r="G390" s="7">
        <v>1279.3</v>
      </c>
      <c r="H390" s="7">
        <v>712.56</v>
      </c>
      <c r="I390" s="7">
        <v>12793</v>
      </c>
      <c r="J390" s="7">
        <v>7125.6</v>
      </c>
      <c r="K390" s="7">
        <v>5667.4</v>
      </c>
      <c r="L390" s="8">
        <f>IF($E390="Maquillaje",$G390,NA())</f>
        <v>1279.3</v>
      </c>
      <c r="M390" s="8">
        <f>IF($E390="Maquillaje",$H390,NA())</f>
        <v>712.56</v>
      </c>
      <c r="N390" t="e">
        <f>IF($E390="Perfumería",$G390,NA())</f>
        <v>#N/A</v>
      </c>
      <c r="O390" t="e">
        <f>IF($E390="Perfumería",$H390,NA())</f>
        <v>#N/A</v>
      </c>
      <c r="P390" t="e">
        <f>IF($E390="Cuidado Facial",$G390,NA())</f>
        <v>#N/A</v>
      </c>
      <c r="Q390" t="e">
        <f>IF($E390="Cuidado Facial",$H390,NA())</f>
        <v>#N/A</v>
      </c>
      <c r="R390" t="e">
        <f>IF($E390="Capilar",$G390,NA())</f>
        <v>#N/A</v>
      </c>
      <c r="S390" t="e">
        <f>IF($E390="Capilar",$H390,NA())</f>
        <v>#N/A</v>
      </c>
      <c r="T390" s="6" t="str">
        <f t="shared" si="6"/>
        <v>Septiembre</v>
      </c>
    </row>
    <row r="391" spans="1:20" ht="15" customHeight="1" x14ac:dyDescent="0.25">
      <c r="A391" s="5">
        <v>46098</v>
      </c>
      <c r="B391" s="6" t="s">
        <v>38</v>
      </c>
      <c r="C391" s="6" t="s">
        <v>31</v>
      </c>
      <c r="D391" s="6" t="s">
        <v>44</v>
      </c>
      <c r="E391" s="6" t="s">
        <v>37</v>
      </c>
      <c r="F391" s="6">
        <v>10</v>
      </c>
      <c r="G391" s="7">
        <v>1207.52</v>
      </c>
      <c r="H391" s="7">
        <v>635.08000000000004</v>
      </c>
      <c r="I391" s="7">
        <v>12075.2</v>
      </c>
      <c r="J391" s="7">
        <v>6350.8</v>
      </c>
      <c r="K391" s="7">
        <v>5724.4</v>
      </c>
      <c r="L391" s="8">
        <f>IF($E391="Maquillaje",$G391,NA())</f>
        <v>1207.52</v>
      </c>
      <c r="M391" s="8">
        <f>IF($E391="Maquillaje",$H391,NA())</f>
        <v>635.08000000000004</v>
      </c>
      <c r="N391" t="e">
        <f>IF($E391="Perfumería",$G391,NA())</f>
        <v>#N/A</v>
      </c>
      <c r="O391" t="e">
        <f>IF($E391="Perfumería",$H391,NA())</f>
        <v>#N/A</v>
      </c>
      <c r="P391" t="e">
        <f>IF($E391="Cuidado Facial",$G391,NA())</f>
        <v>#N/A</v>
      </c>
      <c r="Q391" t="e">
        <f>IF($E391="Cuidado Facial",$H391,NA())</f>
        <v>#N/A</v>
      </c>
      <c r="R391" t="e">
        <f>IF($E391="Capilar",$G391,NA())</f>
        <v>#N/A</v>
      </c>
      <c r="S391" t="e">
        <f>IF($E391="Capilar",$H391,NA())</f>
        <v>#N/A</v>
      </c>
      <c r="T391" s="6" t="str">
        <f t="shared" si="6"/>
        <v>Marzo</v>
      </c>
    </row>
    <row r="392" spans="1:20" ht="15" customHeight="1" x14ac:dyDescent="0.25">
      <c r="A392" s="5">
        <v>46212</v>
      </c>
      <c r="B392" s="6" t="s">
        <v>30</v>
      </c>
      <c r="C392" s="6" t="s">
        <v>48</v>
      </c>
      <c r="D392" s="6" t="s">
        <v>47</v>
      </c>
      <c r="E392" s="6" t="s">
        <v>33</v>
      </c>
      <c r="F392" s="6">
        <v>2</v>
      </c>
      <c r="G392" s="7">
        <v>3256.66</v>
      </c>
      <c r="H392" s="7">
        <v>1696.28</v>
      </c>
      <c r="I392" s="7">
        <v>6513.32</v>
      </c>
      <c r="J392" s="7">
        <v>3392.56</v>
      </c>
      <c r="K392" s="7">
        <v>3120.76</v>
      </c>
      <c r="L392" t="e">
        <f>IF($E392="Maquillaje",$G392,NA())</f>
        <v>#N/A</v>
      </c>
      <c r="M392" t="e">
        <f>IF($E392="Maquillaje",$H392,NA())</f>
        <v>#N/A</v>
      </c>
      <c r="N392" s="8">
        <f>IF($E392="Perfumería",$G392,NA())</f>
        <v>3256.66</v>
      </c>
      <c r="O392" s="8">
        <f>IF($E392="Perfumería",$H392,NA())</f>
        <v>1696.28</v>
      </c>
      <c r="P392" t="e">
        <f>IF($E392="Cuidado Facial",$G392,NA())</f>
        <v>#N/A</v>
      </c>
      <c r="Q392" t="e">
        <f>IF($E392="Cuidado Facial",$H392,NA())</f>
        <v>#N/A</v>
      </c>
      <c r="R392" t="e">
        <f>IF($E392="Capilar",$G392,NA())</f>
        <v>#N/A</v>
      </c>
      <c r="S392" t="e">
        <f>IF($E392="Capilar",$H392,NA())</f>
        <v>#N/A</v>
      </c>
      <c r="T392" s="6" t="str">
        <f t="shared" si="6"/>
        <v>Julio</v>
      </c>
    </row>
    <row r="393" spans="1:20" ht="15" customHeight="1" x14ac:dyDescent="0.25">
      <c r="A393" s="5">
        <v>46309</v>
      </c>
      <c r="B393" s="6" t="s">
        <v>34</v>
      </c>
      <c r="C393" s="6" t="s">
        <v>35</v>
      </c>
      <c r="D393" s="6" t="s">
        <v>32</v>
      </c>
      <c r="E393" s="6" t="s">
        <v>33</v>
      </c>
      <c r="F393" s="6">
        <v>3</v>
      </c>
      <c r="G393" s="7">
        <v>3220.99</v>
      </c>
      <c r="H393" s="7">
        <v>1839.89</v>
      </c>
      <c r="I393" s="7">
        <v>9662.9699999999993</v>
      </c>
      <c r="J393" s="7">
        <v>5519.67</v>
      </c>
      <c r="K393" s="7">
        <v>4143.3</v>
      </c>
      <c r="L393" t="e">
        <f>IF($E393="Maquillaje",$G393,NA())</f>
        <v>#N/A</v>
      </c>
      <c r="M393" t="e">
        <f>IF($E393="Maquillaje",$H393,NA())</f>
        <v>#N/A</v>
      </c>
      <c r="N393">
        <f>IF($E393="Perfumería",$G393,NA())</f>
        <v>3220.99</v>
      </c>
      <c r="O393">
        <f>IF($E393="Perfumería",$H393,NA())</f>
        <v>1839.89</v>
      </c>
      <c r="P393" t="e">
        <f>IF($E393="Cuidado Facial",$G393,NA())</f>
        <v>#N/A</v>
      </c>
      <c r="Q393" t="e">
        <f>IF($E393="Cuidado Facial",$H393,NA())</f>
        <v>#N/A</v>
      </c>
      <c r="R393" t="e">
        <f>IF($E393="Capilar",$G393,NA())</f>
        <v>#N/A</v>
      </c>
      <c r="S393" t="e">
        <f>IF($E393="Capilar",$H393,NA())</f>
        <v>#N/A</v>
      </c>
      <c r="T393" s="6" t="str">
        <f t="shared" si="6"/>
        <v>Octubre</v>
      </c>
    </row>
    <row r="394" spans="1:20" ht="15" customHeight="1" x14ac:dyDescent="0.25">
      <c r="A394" s="5">
        <v>46070</v>
      </c>
      <c r="B394" s="6" t="s">
        <v>46</v>
      </c>
      <c r="C394" s="6" t="s">
        <v>31</v>
      </c>
      <c r="D394" s="6" t="s">
        <v>49</v>
      </c>
      <c r="E394" s="6" t="s">
        <v>40</v>
      </c>
      <c r="F394" s="6">
        <v>13</v>
      </c>
      <c r="G394" s="7">
        <v>1634.97</v>
      </c>
      <c r="H394" s="7">
        <v>985.6</v>
      </c>
      <c r="I394" s="7">
        <v>21254.61</v>
      </c>
      <c r="J394" s="7">
        <v>12812.8</v>
      </c>
      <c r="K394" s="7">
        <v>8441.81</v>
      </c>
      <c r="L394" t="e">
        <f>IF($E394="Maquillaje",$G394,NA())</f>
        <v>#N/A</v>
      </c>
      <c r="M394" t="e">
        <f>IF($E394="Maquillaje",$H394,NA())</f>
        <v>#N/A</v>
      </c>
      <c r="N394" t="e">
        <f>IF($E394="Perfumería",$G394,NA())</f>
        <v>#N/A</v>
      </c>
      <c r="O394" t="e">
        <f>IF($E394="Perfumería",$H394,NA())</f>
        <v>#N/A</v>
      </c>
      <c r="P394" s="8">
        <f>IF($E394="Cuidado Facial",$G394,NA())</f>
        <v>1634.97</v>
      </c>
      <c r="Q394" s="8">
        <f>IF($E394="Cuidado Facial",$H394,NA())</f>
        <v>985.6</v>
      </c>
      <c r="R394" t="e">
        <f>IF($E394="Capilar",$G394,NA())</f>
        <v>#N/A</v>
      </c>
      <c r="S394" t="e">
        <f>IF($E394="Capilar",$H394,NA())</f>
        <v>#N/A</v>
      </c>
      <c r="T394" s="6" t="str">
        <f t="shared" si="6"/>
        <v>Febrero</v>
      </c>
    </row>
    <row r="395" spans="1:20" ht="15" customHeight="1" x14ac:dyDescent="0.25">
      <c r="A395" s="5">
        <v>46145</v>
      </c>
      <c r="B395" s="6" t="s">
        <v>38</v>
      </c>
      <c r="C395" s="6" t="s">
        <v>31</v>
      </c>
      <c r="D395" s="6" t="s">
        <v>36</v>
      </c>
      <c r="E395" s="6" t="s">
        <v>37</v>
      </c>
      <c r="F395" s="6">
        <v>2</v>
      </c>
      <c r="G395" s="7">
        <v>1529.45</v>
      </c>
      <c r="H395" s="7">
        <v>819.7</v>
      </c>
      <c r="I395" s="7">
        <v>3058.9</v>
      </c>
      <c r="J395" s="7">
        <v>1639.4</v>
      </c>
      <c r="K395" s="7">
        <v>1419.5</v>
      </c>
      <c r="L395" s="8">
        <f>IF($E395="Maquillaje",$G395,NA())</f>
        <v>1529.45</v>
      </c>
      <c r="M395" s="8">
        <f>IF($E395="Maquillaje",$H395,NA())</f>
        <v>819.7</v>
      </c>
      <c r="N395" t="e">
        <f>IF($E395="Perfumería",$G395,NA())</f>
        <v>#N/A</v>
      </c>
      <c r="O395" t="e">
        <f>IF($E395="Perfumería",$H395,NA())</f>
        <v>#N/A</v>
      </c>
      <c r="P395" t="e">
        <f>IF($E395="Cuidado Facial",$G395,NA())</f>
        <v>#N/A</v>
      </c>
      <c r="Q395" t="e">
        <f>IF($E395="Cuidado Facial",$H395,NA())</f>
        <v>#N/A</v>
      </c>
      <c r="R395" t="e">
        <f>IF($E395="Capilar",$G395,NA())</f>
        <v>#N/A</v>
      </c>
      <c r="S395" t="e">
        <f>IF($E395="Capilar",$H395,NA())</f>
        <v>#N/A</v>
      </c>
      <c r="T395" s="6" t="str">
        <f t="shared" si="6"/>
        <v>Mayo</v>
      </c>
    </row>
    <row r="396" spans="1:20" ht="15" customHeight="1" x14ac:dyDescent="0.25">
      <c r="A396" s="5">
        <v>46060</v>
      </c>
      <c r="B396" s="6" t="s">
        <v>34</v>
      </c>
      <c r="C396" s="6" t="s">
        <v>35</v>
      </c>
      <c r="D396" s="6" t="s">
        <v>47</v>
      </c>
      <c r="E396" s="6" t="s">
        <v>33</v>
      </c>
      <c r="F396" s="6">
        <v>7</v>
      </c>
      <c r="G396" s="7">
        <v>3087.55</v>
      </c>
      <c r="H396" s="7">
        <v>1731.17</v>
      </c>
      <c r="I396" s="7">
        <v>21612.85</v>
      </c>
      <c r="J396" s="7">
        <v>12118.19</v>
      </c>
      <c r="K396" s="7">
        <v>9494.66</v>
      </c>
      <c r="L396" t="e">
        <f>IF($E396="Maquillaje",$G396,NA())</f>
        <v>#N/A</v>
      </c>
      <c r="M396" t="e">
        <f>IF($E396="Maquillaje",$H396,NA())</f>
        <v>#N/A</v>
      </c>
      <c r="N396">
        <f>IF($E396="Perfumería",$G396,NA())</f>
        <v>3087.55</v>
      </c>
      <c r="O396">
        <f>IF($E396="Perfumería",$H396,NA())</f>
        <v>1731.17</v>
      </c>
      <c r="P396" t="e">
        <f>IF($E396="Cuidado Facial",$G396,NA())</f>
        <v>#N/A</v>
      </c>
      <c r="Q396" t="e">
        <f>IF($E396="Cuidado Facial",$H396,NA())</f>
        <v>#N/A</v>
      </c>
      <c r="R396" t="e">
        <f>IF($E396="Capilar",$G396,NA())</f>
        <v>#N/A</v>
      </c>
      <c r="S396" t="e">
        <f>IF($E396="Capilar",$H396,NA())</f>
        <v>#N/A</v>
      </c>
      <c r="T396" s="6" t="str">
        <f t="shared" si="6"/>
        <v>Febrero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7"/>
  <sheetViews>
    <sheetView showGridLines="0" zoomScaleNormal="100" workbookViewId="0">
      <selection activeCell="H15" sqref="H15"/>
    </sheetView>
  </sheetViews>
  <sheetFormatPr baseColWidth="10" defaultColWidth="8.7109375" defaultRowHeight="15" x14ac:dyDescent="0.25"/>
  <cols>
    <col min="3" max="3" width="37.28515625" bestFit="1" customWidth="1"/>
  </cols>
  <sheetData>
    <row r="2" spans="2:8" ht="17.25" customHeight="1" x14ac:dyDescent="0.25">
      <c r="B2" s="9" t="s">
        <v>50</v>
      </c>
    </row>
    <row r="3" spans="2:8" ht="15" customHeight="1" x14ac:dyDescent="0.25">
      <c r="B3" s="58" t="s">
        <v>51</v>
      </c>
      <c r="C3" s="58"/>
      <c r="D3" s="58"/>
      <c r="E3" s="58"/>
      <c r="F3" s="58"/>
      <c r="G3" s="58"/>
      <c r="H3" s="58"/>
    </row>
    <row r="5" spans="2:8" ht="15" customHeight="1" x14ac:dyDescent="0.25">
      <c r="B5" s="10" t="s">
        <v>52</v>
      </c>
      <c r="C5" s="7">
        <f>AVERAGE(Datos_Base!I2:I396)</f>
        <v>14996.173924050618</v>
      </c>
    </row>
    <row r="6" spans="2:8" ht="15" customHeight="1" x14ac:dyDescent="0.25">
      <c r="B6" s="10" t="s">
        <v>53</v>
      </c>
      <c r="C6" s="7">
        <f>STDEV(Datos_Base!I2:I396)/SQRT(COUNT(Datos_Base!I2:I396))</f>
        <v>580.74211447362109</v>
      </c>
    </row>
    <row r="7" spans="2:8" ht="15" customHeight="1" x14ac:dyDescent="0.25">
      <c r="B7" s="10" t="s">
        <v>54</v>
      </c>
      <c r="C7" s="7">
        <f>MEDIAN(Datos_Base!I2:I396)</f>
        <v>11947</v>
      </c>
    </row>
    <row r="8" spans="2:8" ht="15" customHeight="1" x14ac:dyDescent="0.25">
      <c r="B8" s="10" t="s">
        <v>55</v>
      </c>
      <c r="C8" s="7" t="str">
        <f>IFERROR(MODE(Datos_Base!I2:I396),"Sin moda (valores continuos, sin repetidos)")</f>
        <v>Sin moda (valores continuos, sin repetidos)</v>
      </c>
    </row>
    <row r="9" spans="2:8" ht="15" customHeight="1" x14ac:dyDescent="0.25">
      <c r="B9" s="10" t="s">
        <v>56</v>
      </c>
      <c r="C9" s="7">
        <f>STDEV(Datos_Base!I2:I396)</f>
        <v>11542.021243772708</v>
      </c>
    </row>
    <row r="10" spans="2:8" ht="15" customHeight="1" x14ac:dyDescent="0.25">
      <c r="B10" s="10" t="s">
        <v>57</v>
      </c>
      <c r="C10" s="7">
        <f>VAR(Datos_Base!I2:I396)</f>
        <v>133218254.39170048</v>
      </c>
    </row>
    <row r="11" spans="2:8" ht="15" customHeight="1" x14ac:dyDescent="0.25">
      <c r="B11" s="10" t="s">
        <v>58</v>
      </c>
      <c r="C11" s="7">
        <f>KURT(Datos_Base!I2:I396)</f>
        <v>1.3054901942397068</v>
      </c>
    </row>
    <row r="12" spans="2:8" ht="15" customHeight="1" x14ac:dyDescent="0.25">
      <c r="B12" s="10" t="s">
        <v>59</v>
      </c>
      <c r="C12" s="7">
        <f>SKEW(Datos_Base!I2:I396)</f>
        <v>1.2820243166490777</v>
      </c>
    </row>
    <row r="13" spans="2:8" ht="15" customHeight="1" x14ac:dyDescent="0.25">
      <c r="B13" s="10" t="s">
        <v>60</v>
      </c>
      <c r="C13" s="7">
        <f>MAX(Datos_Base!I2:I396)-MIN(Datos_Base!I2:I396)</f>
        <v>53532</v>
      </c>
    </row>
    <row r="14" spans="2:8" ht="15" customHeight="1" x14ac:dyDescent="0.25">
      <c r="B14" s="10" t="s">
        <v>61</v>
      </c>
      <c r="C14" s="7">
        <f>MIN(Datos_Base!I2:I396)</f>
        <v>857.4</v>
      </c>
    </row>
    <row r="15" spans="2:8" ht="15" customHeight="1" x14ac:dyDescent="0.25">
      <c r="B15" s="10" t="s">
        <v>62</v>
      </c>
      <c r="C15" s="7">
        <f>MAX(Datos_Base!I2:I396)</f>
        <v>54389.4</v>
      </c>
    </row>
    <row r="16" spans="2:8" ht="15" customHeight="1" x14ac:dyDescent="0.25">
      <c r="B16" s="10" t="s">
        <v>63</v>
      </c>
      <c r="C16" s="7">
        <f>SUM(Datos_Base!I2:I396)</f>
        <v>5923488.6999999937</v>
      </c>
    </row>
    <row r="17" spans="2:3" ht="15" customHeight="1" x14ac:dyDescent="0.25">
      <c r="B17" s="10" t="s">
        <v>64</v>
      </c>
      <c r="C17" s="7">
        <f>COUNT(Datos_Base!I2:I396)</f>
        <v>395</v>
      </c>
    </row>
  </sheetData>
  <mergeCells count="1"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0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26" customWidth="1"/>
    <col min="3" max="5" width="14" customWidth="1"/>
  </cols>
  <sheetData>
    <row r="2" spans="2:8" ht="17.25" customHeight="1" x14ac:dyDescent="0.25">
      <c r="B2" s="9" t="s">
        <v>65</v>
      </c>
    </row>
    <row r="3" spans="2:8" ht="15" customHeight="1" x14ac:dyDescent="0.25">
      <c r="B3" s="58" t="s">
        <v>66</v>
      </c>
      <c r="C3" s="58"/>
      <c r="D3" s="58"/>
      <c r="E3" s="58"/>
      <c r="F3" s="58"/>
      <c r="G3" s="58"/>
      <c r="H3" s="58"/>
    </row>
    <row r="5" spans="2:8" ht="15" customHeight="1" x14ac:dyDescent="0.25">
      <c r="B5" s="11" t="s">
        <v>67</v>
      </c>
      <c r="C5" s="12" t="s">
        <v>68</v>
      </c>
      <c r="D5" s="12" t="s">
        <v>69</v>
      </c>
      <c r="E5" s="12" t="s">
        <v>70</v>
      </c>
    </row>
    <row r="6" spans="2:8" ht="15" customHeight="1" x14ac:dyDescent="0.25">
      <c r="B6" s="6" t="s">
        <v>71</v>
      </c>
      <c r="C6" s="13">
        <v>0.1</v>
      </c>
      <c r="D6" s="13">
        <v>0</v>
      </c>
      <c r="E6" s="13">
        <v>-0.1</v>
      </c>
    </row>
    <row r="7" spans="2:8" ht="15" customHeight="1" x14ac:dyDescent="0.25">
      <c r="B7" s="6" t="s">
        <v>72</v>
      </c>
      <c r="C7" s="14">
        <f>SUM(Datos_Base!$I$2:$I$396)</f>
        <v>5923488.6999999937</v>
      </c>
      <c r="D7" s="14">
        <f>SUM(Datos_Base!$I$2:$I$396)</f>
        <v>5923488.6999999937</v>
      </c>
      <c r="E7" s="14">
        <f>SUM(Datos_Base!$I$2:$I$396)</f>
        <v>5923488.6999999937</v>
      </c>
    </row>
    <row r="8" spans="2:8" ht="15" customHeight="1" x14ac:dyDescent="0.25">
      <c r="B8" s="6" t="s">
        <v>73</v>
      </c>
      <c r="C8" s="14">
        <f>SUM(Datos_Base!$J$2:$J$396)*(1+C6)</f>
        <v>3328393.6290000021</v>
      </c>
      <c r="D8" s="14">
        <f>SUM(Datos_Base!$J$2:$J$396)*(1+D6)</f>
        <v>3025812.3900000015</v>
      </c>
      <c r="E8" s="14">
        <f>SUM(Datos_Base!$J$2:$J$396)*(1+E6)</f>
        <v>2723231.1510000015</v>
      </c>
    </row>
    <row r="9" spans="2:8" ht="15" customHeight="1" x14ac:dyDescent="0.25">
      <c r="B9" s="6" t="s">
        <v>74</v>
      </c>
      <c r="C9" s="15">
        <f>C7-C8</f>
        <v>2595095.0709999916</v>
      </c>
      <c r="D9" s="15">
        <f>D7-D8</f>
        <v>2897676.3099999921</v>
      </c>
      <c r="E9" s="15">
        <f>E7-E8</f>
        <v>3200257.5489999922</v>
      </c>
    </row>
    <row r="10" spans="2:8" ht="15" customHeight="1" x14ac:dyDescent="0.25">
      <c r="B10" s="6" t="s">
        <v>75</v>
      </c>
      <c r="C10" s="16">
        <f>C9/C7</f>
        <v>0.43810247683936571</v>
      </c>
      <c r="D10" s="16">
        <f>D9/D7</f>
        <v>0.48918406985396889</v>
      </c>
      <c r="E10" s="16">
        <f>E9/E7</f>
        <v>0.54026566286857192</v>
      </c>
    </row>
  </sheetData>
  <mergeCells count="1"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 Final</vt:lpstr>
      <vt:lpstr>Datos_Base</vt:lpstr>
      <vt:lpstr>Estadística_Descriptiva</vt:lpstr>
      <vt:lpstr>Escenarios_Resumen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María Macarena Visco</cp:lastModifiedBy>
  <cp:revision>1</cp:revision>
  <dcterms:created xsi:type="dcterms:W3CDTF">2026-09-15T00:09:15Z</dcterms:created>
  <dcterms:modified xsi:type="dcterms:W3CDTF">2026-09-15T01:45:36Z</dcterms:modified>
  <dc:language>en-US</dc:language>
</cp:coreProperties>
</file>